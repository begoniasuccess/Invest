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1_{9919B96A-EC7B-42AC-82B7-A3434C439AF9}" xr6:coauthVersionLast="47" xr6:coauthVersionMax="47" xr10:uidLastSave="{00000000-0000-0000-0000-000000000000}"/>
  <bookViews>
    <workbookView xWindow="0" yWindow="360" windowWidth="24240" windowHeight="13020" xr2:uid="{6E8C6583-79D9-4F47-B700-127A8917F572}"/>
  </bookViews>
  <sheets>
    <sheet name="stock_ana" sheetId="1" r:id="rId1"/>
  </sheets>
  <definedNames>
    <definedName name="_xlnm._FilterDatabase" localSheetId="0" hidden="1">stock_ana!$A$1:$P$246</definedName>
  </definedNames>
  <calcPr calcId="181029"/>
</workbook>
</file>

<file path=xl/calcChain.xml><?xml version="1.0" encoding="utf-8"?>
<calcChain xmlns="http://schemas.openxmlformats.org/spreadsheetml/2006/main">
  <c r="P246" i="1" l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<sst xmlns="http://schemas.openxmlformats.org/spreadsheetml/2006/main" count="989" uniqueCount="123">
  <si>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</si>
  <si>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</si>
  <si>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</si>
  <si>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</si>
  <si>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</si>
  <si>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</si>
  <si>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</si>
  <si>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</si>
  <si>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</si>
  <si>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</si>
  <si>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</si>
  <si>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</si>
  <si>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</si>
  <si>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</si>
  <si>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</si>
  <si>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max</t>
  </si>
  <si>
    <t>close</t>
  </si>
  <si>
    <t>open</t>
  </si>
  <si>
    <t>20251030|20251031|20251103|20251104|20251211</t>
  </si>
  <si>
    <t>min</t>
  </si>
  <si>
    <t>10MA</t>
  </si>
  <si>
    <t>5MA</t>
  </si>
  <si>
    <t>20MA</t>
  </si>
  <si>
    <t>60MA</t>
  </si>
  <si>
    <t>20251008|20251013|20251014|20251015|20251118|20251125</t>
  </si>
  <si>
    <t>20251003|20251013|20251119|20251121|20251124</t>
  </si>
  <si>
    <t>20251003|20251013|20251121|20251124</t>
  </si>
  <si>
    <t>20250925|20251001</t>
  </si>
  <si>
    <t>20250926|20250930</t>
  </si>
  <si>
    <t>120MA</t>
  </si>
  <si>
    <t>20251029|20251030|20251031|20251103|20251104|20251210|20251211</t>
  </si>
  <si>
    <t>TAIEX-60-20251223</t>
  </si>
  <si>
    <t>TAIEX</t>
  </si>
  <si>
    <t>20251104|20251211</t>
  </si>
  <si>
    <t>20251030|20251104|20251211</t>
  </si>
  <si>
    <t>20251030|20251103|20251104|20251211</t>
  </si>
  <si>
    <t>20251030|20251031|20251103|20251104|20251210|20251211</t>
  </si>
  <si>
    <t>20251029|20251030|20251031|20251103|20251104|20251209|20251210|20251211</t>
  </si>
  <si>
    <t>20251029|20251030|20251031|20251103|20251104|20251209|20251210|20251211|20251223</t>
  </si>
  <si>
    <t>20251029|20251030|20251031|20251103|20251104|20251208|20251209|20251210|20251211|20251223</t>
  </si>
  <si>
    <t>20251029|20251030|20251031|20251103|20251104|20251208|20251209|20251210|20251211|20251212|20251223</t>
  </si>
  <si>
    <t>20251029|20251030|20251103|20251104|20251208|20251209|20251210|20251211|20251212|20251223</t>
  </si>
  <si>
    <t>20251029|20251030|20251103|20251104|20251208|20251209|20251210|20251211|20251212</t>
  </si>
  <si>
    <t>20251027|20251029|20251030|20251103|20251104|20251208|20251209|20251210|20251211|20251212</t>
  </si>
  <si>
    <t>20251027|20251029|20251030|20251103|20251104|20251111|20251208|20251209|20251211|20251212</t>
  </si>
  <si>
    <t>20251027|20251029|20251030|20251103|20251104|20251111|20251208|20251209|20251211|20251212|20251222</t>
  </si>
  <si>
    <t>20251027|20251029|20251030|20251103|20251104|20251111|20251208|20251211|20251212|20251222</t>
  </si>
  <si>
    <t>20251027|20251029|20251030|20251104|20251111|20251208|20251211|20251212|20251222</t>
  </si>
  <si>
    <t>20251027|20251030|20251104|20251111|20251208|20251211|20251212|20251215|20251222</t>
  </si>
  <si>
    <t>20251027|20251104|20251111|20251208|20251211|20251212|20251215|20251222</t>
  </si>
  <si>
    <t>20251027|20251028|20251104|20251111|20251208|20251211|20251212|20251215|20251222</t>
  </si>
  <si>
    <t>20251027|20251028|20251104|20251111|20251112|20251208|20251211|20251212|20251215|20251222</t>
  </si>
  <si>
    <t>20251027|20251028|20251104|20251106|20251111|20251112|20251208|20251211|20251215|20251222</t>
  </si>
  <si>
    <t>20251027|20251028|20251104|20251106|20251111|20251112|20251113|20251208|20251211|20251215|20251222</t>
  </si>
  <si>
    <t>20251027|20251028|20251106|20251111|20251112|20251113|20251208|20251211|20251215|20251222</t>
  </si>
  <si>
    <t>20251027|20251028|20251106|20251111|20251112|20251113|20251211|20251215|20251222</t>
  </si>
  <si>
    <t>20251028|20251106|20251111|20251112|20251113|20251211|20251215|20251222</t>
  </si>
  <si>
    <t>20251028|20251106|20251111|20251112|20251113|20251211|20251215</t>
  </si>
  <si>
    <t>20251028|20251106|20251111|20251112|20251113|20251205|20251215</t>
  </si>
  <si>
    <t>20251028|20251106|20251110|20251111|20251112|20251113|20251205|20251215</t>
  </si>
  <si>
    <t>20251021|20251028|20251106|20251110|20251111|20251112|20251113|20251205|20251215</t>
  </si>
  <si>
    <t>20251021|20251106|20251110|20251111|20251112|20251113|20251204|20251205|20251215</t>
  </si>
  <si>
    <t>20251021|20251110|20251111|20251112|20251113|20251204|20251205|20251215|20251219</t>
  </si>
  <si>
    <t>20251021|20251110|20251111|20251112|20251113|20251203|20251204|20251205|20251215|20251219</t>
  </si>
  <si>
    <t>20251021|20251107|20251110|20251111|20251112|20251113|20251203|20251204|20251205|20251215|20251219</t>
  </si>
  <si>
    <t>20251021|20251107|20251110|20251111|20251112|20251113|20251114|20251203|20251204|20251205|20251215|20251219</t>
  </si>
  <si>
    <t>20251021|20251107|20251110|20251111|20251112|20251114|20251203|20251204|20251205|20251215|20251219</t>
  </si>
  <si>
    <t>20251021|20251105|20251107|20251110|20251111|20251114|20251203|20251204|20251205|20251215|20251219</t>
  </si>
  <si>
    <t>20251021|20251105|20251107|20251110|20251111|20251114|20251128|20251203|20251204|20251205|20251215|20251219</t>
  </si>
  <si>
    <t>20251021|20251105|20251107|20251110|20251114|20251128|20251203|20251204|20251205|20251215|20251217|20251219</t>
  </si>
  <si>
    <t>20251020|20251021|20251105|20251107|20251110|20251114|20251128|20251203|20251204|20251205|20251215|20251217|20251219</t>
  </si>
  <si>
    <t>20251020|20251105|20251107|20251110|20251114|20251128|20251202|20251203|20251204|20251205|20251215|20251217|20251219</t>
  </si>
  <si>
    <t>20251020|20251105|20251107|20251110|20251114|20251128|20251202|20251203|20251204|20251205|20251215|20251216|20251217|20251219</t>
  </si>
  <si>
    <t>20251016|20251020|20251105|20251107|20251110|20251114|20251128|20251202|20251203|20251204|20251215|20251216|20251217|20251219</t>
  </si>
  <si>
    <t>20251016|20251020|20251022|20251105|20251107|20251110|20251114|20251128|20251202|20251203|20251204|20251215|20251216|20251217|20251219</t>
  </si>
  <si>
    <t>20251016|20251020|20251022|20251105|20251107|20251110|20251114|20251117|20251128|20251202|20251203|20251204|20251215|20251216|20251217|20251219</t>
  </si>
  <si>
    <t>20251016|20251020|20251022|20251105|20251107|20251110|20251114|20251117|20251128|20251201|20251202|20251203|20251204|20251215|20251216|20251217|20251219</t>
  </si>
  <si>
    <t>20251016|20251020|20251022|20251105|20251107|20251110|20251114|20251117|20251128|20251201|20251202|20251203|20251204|20251216|20251217|20251219</t>
  </si>
  <si>
    <t>20251016|20251020|20251022|20251105|20251107|20251114|20251117|20251128|20251201|20251202|20251203|20251204|20251216|20251217|20251219</t>
  </si>
  <si>
    <t>20251016|20251020|20251022|20251105|20251107|20251114|20251117|20251127|20251128|20251201|20251202|20251203|20251204|20251216|20251217</t>
  </si>
  <si>
    <t>20251016|20251020|20251022|20251105|20251107|20251114|20251117|20251127|20251128|20251201|20251202|20251203|20251216|20251217</t>
  </si>
  <si>
    <t>20251016|20251020|20251022|20251105|20251114|20251117|20251127|20251128|20251201|20251202|20251203|20251216|20251217</t>
  </si>
  <si>
    <t>20251016|20251020|20251022|20251105|20251114|20251117|20251127|20251128|20251201|20251202|20251216|20251217</t>
  </si>
  <si>
    <t>20251016|20251020|20251022|20251023|20251105|20251114|20251117|20251127|20251128|20251201|20251202|20251216|20251217</t>
  </si>
  <si>
    <t>20251016|20251020|20251022|20251023|20251105|20251114|20251117|20251127|20251128|20251201|20251202|20251216|20251217|20251218</t>
  </si>
  <si>
    <t>20251016|20251020|20251022|20251023|20251105|20251114|20251117|20251127|20251201|20251202|20251216|20251217|20251218</t>
  </si>
  <si>
    <t>20251016|20251017|20251020|20251022|20251023|20251105|20251114|20251117|20251127|20251201|20251202|20251216|20251217|20251218</t>
  </si>
  <si>
    <t>20251014|20251016|20251017|20251020|20251022|20251023|20251105|20251114|20251117|20251127|20251201|20251202|20251216|20251217|20251218</t>
  </si>
  <si>
    <t>20251014|20251016|20251017|20251020|20251022|20251023|20251105|20251114|20251117|20251120|20251127|20251201|20251202|20251216|20251217|20251218</t>
  </si>
  <si>
    <t>20251014|20251016|20251017|20251020|20251023|20251105|20251114|20251117|20251120|20251127|20251201|20251202|20251216|20251217|20251218</t>
  </si>
  <si>
    <t>20251014|20251016|20251017|20251020|20251023|20251105|20251114|20251117|20251120|20251127|20251201|20251216|20251217|20251218</t>
  </si>
  <si>
    <t>20251014|20251016|20251017|20251020|20251023|20251105|20251114|20251117|20251120|20251127|20251201|20251216|20251218</t>
  </si>
  <si>
    <t>20251009|20251014|20251016|20251017|20251020|20251023|20251105|20251114|20251117|20251120|20251127|20251201|20251216|20251218</t>
  </si>
  <si>
    <t>20251009|20251014|20251016|20251017|20251020|20251023|20251105|20251114|20251120|20251127|20251201|20251216|20251218</t>
  </si>
  <si>
    <t>20251009|20251014|20251016|20251017|20251020|20251023|20251105|20251114|20251120|20251201|20251216|20251218</t>
  </si>
  <si>
    <t>20251009|20251014|20251016|20251017|20251023|20251105|20251114|20251120|20251126|20251201|20251216|20251218</t>
  </si>
  <si>
    <t>20251009|20251014|20251016|20251017|20251023|20251105|20251120|20251126|20251201|20251216|20251218</t>
  </si>
  <si>
    <t>20251009|20251014|20251016|20251017|20251023|20251120|20251126|20251201|20251216|20251218</t>
  </si>
  <si>
    <t>20251009|20251014|20251016|20251017|20251120|20251126|20251201|20251216|20251218</t>
  </si>
  <si>
    <t>20251009|20251014|20251016|20251017|20251120|20251126|20251201|20251218</t>
  </si>
  <si>
    <t>20251009|20251014|20251016|20251017|20251120|20251126|20251201</t>
  </si>
  <si>
    <t>20251009|20251014|20251016|20251017|20251120|20251126</t>
  </si>
  <si>
    <t>20251009|20251014|20251017|20251118|20251120|20251126</t>
  </si>
  <si>
    <t>20251009|20251014|20251118|20251120|20251126</t>
  </si>
  <si>
    <t>20251007|20251009|20251014|20251118|20251120|20251126</t>
  </si>
  <si>
    <t>20251007|20251009|20251014|20251015|20251118|20251120|20251126</t>
  </si>
  <si>
    <t>20251007|20251014|20251015|20251118|20251120|20251126</t>
  </si>
  <si>
    <t>20251007|20251014|20251015|20251118|20251125|20251126</t>
  </si>
  <si>
    <t>20251007|20251008|20251014|20251015|20251118|20251125|20251126</t>
  </si>
  <si>
    <t>20251007|20251008|20251014|20251015|20251118|20251125</t>
  </si>
  <si>
    <t>20251008|20251014|20251015|20251118|20251125</t>
  </si>
  <si>
    <t>20251008|20251013|20251014|20251015|20251118|20251119|20251125</t>
  </si>
  <si>
    <t>20251013|20251014|20251015|20251118|20251119|20251121|20251125</t>
  </si>
  <si>
    <t>20251013|20251014|20251015|20251118|20251119|20251121</t>
  </si>
  <si>
    <t>20251013|20251014|20251118|20251119|20251121|20251124</t>
  </si>
  <si>
    <t>20251013|20251118|20251119|20251121|20251124</t>
  </si>
  <si>
    <t>20251003|20251013|20251118|20251119|20251121|20251124</t>
  </si>
  <si>
    <t>20251002|20251003|20251013|20251121|20251124</t>
  </si>
  <si>
    <t>20251002|20251003|20251013|20251121</t>
  </si>
  <si>
    <t>20251002|20251003|20251121</t>
  </si>
  <si>
    <t>20251002|20251121</t>
  </si>
  <si>
    <t>20250926|20251001</t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</si>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</sst>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[&gt;=1000000]#,##0,,&quot;M&quot;;[&gt;=1000]#,##0,&quot;K&quot;;#,##0"/>
    <numFmt numFmtId="181" formatCode="[&gt;=1000000]#,##0.00,,&quot;M&quot;;[&gt;=1000]#,##0.00,&quot;K&quot;;#,##0.00"/>
    <numFmt numFmtId="183" formatCode="0.0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  <scheme val="minor"/>
    </font>
    <font>
      <sz val="12"/>
      <color rgb="FF0070C0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42" applyNumberFormat="1" applyFont="1">
      <alignment vertical="center"/>
    </xf>
    <xf numFmtId="0" fontId="19" fillId="0" borderId="0" xfId="0" applyFont="1" applyAlignment="1">
      <alignment horizontal="center" vertical="center"/>
    </xf>
    <xf numFmtId="10" fontId="19" fillId="0" borderId="0" xfId="42" applyNumberFormat="1" applyFont="1">
      <alignment vertical="center"/>
    </xf>
    <xf numFmtId="10" fontId="0" fillId="0" borderId="11" xfId="42" applyNumberFormat="1" applyFont="1" applyBorder="1">
      <alignment vertical="center"/>
    </xf>
    <xf numFmtId="10" fontId="0" fillId="0" borderId="14" xfId="42" applyNumberFormat="1" applyFont="1" applyBorder="1">
      <alignment vertical="center"/>
    </xf>
    <xf numFmtId="10" fontId="0" fillId="0" borderId="0" xfId="42" applyNumberFormat="1" applyFont="1" applyBorder="1">
      <alignment vertical="center"/>
    </xf>
    <xf numFmtId="0" fontId="0" fillId="0" borderId="0" xfId="0" applyAlignment="1">
      <alignment horizontal="center" vertical="center"/>
    </xf>
    <xf numFmtId="10" fontId="19" fillId="33" borderId="0" xfId="42" applyNumberFormat="1" applyFont="1" applyFill="1">
      <alignment vertical="center"/>
    </xf>
    <xf numFmtId="179" fontId="0" fillId="0" borderId="0" xfId="0" applyNumberFormat="1">
      <alignment vertical="center"/>
    </xf>
    <xf numFmtId="181" fontId="0" fillId="0" borderId="0" xfId="0" applyNumberFormat="1">
      <alignment vertical="center"/>
    </xf>
    <xf numFmtId="179" fontId="19" fillId="0" borderId="0" xfId="0" applyNumberFormat="1" applyFont="1">
      <alignment vertical="center"/>
    </xf>
    <xf numFmtId="179" fontId="19" fillId="33" borderId="0" xfId="0" applyNumberFormat="1" applyFont="1" applyFill="1">
      <alignment vertical="center"/>
    </xf>
    <xf numFmtId="181" fontId="19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14" fontId="21" fillId="0" borderId="0" xfId="0" applyNumberFormat="1" applyFont="1">
      <alignment vertical="center"/>
    </xf>
    <xf numFmtId="0" fontId="21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83" fontId="0" fillId="0" borderId="0" xfId="0" applyNumberFormat="1">
      <alignment vertical="center"/>
    </xf>
    <xf numFmtId="0" fontId="0" fillId="35" borderId="0" xfId="0" applyFill="1">
      <alignment vertic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183" fontId="0" fillId="0" borderId="11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4" fontId="21" fillId="0" borderId="11" xfId="0" applyNumberFormat="1" applyFont="1" applyBorder="1">
      <alignment vertical="center"/>
    </xf>
    <xf numFmtId="0" fontId="21" fillId="0" borderId="11" xfId="0" applyFont="1" applyBorder="1" applyAlignment="1">
      <alignment horizontal="center" vertical="center"/>
    </xf>
    <xf numFmtId="179" fontId="0" fillId="0" borderId="11" xfId="0" applyNumberFormat="1" applyBorder="1">
      <alignment vertical="center"/>
    </xf>
    <xf numFmtId="181" fontId="0" fillId="0" borderId="11" xfId="0" applyNumberFormat="1" applyBorder="1">
      <alignment vertical="center"/>
    </xf>
    <xf numFmtId="10" fontId="0" fillId="0" borderId="12" xfId="42" applyNumberFormat="1" applyFont="1" applyBorder="1">
      <alignment vertical="center"/>
    </xf>
    <xf numFmtId="183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4" fontId="21" fillId="0" borderId="0" xfId="0" applyNumberFormat="1" applyFont="1" applyBorder="1">
      <alignment vertical="center"/>
    </xf>
    <xf numFmtId="0" fontId="21" fillId="0" borderId="0" xfId="0" applyFont="1" applyBorder="1" applyAlignment="1">
      <alignment horizontal="center" vertical="center"/>
    </xf>
    <xf numFmtId="179" fontId="0" fillId="0" borderId="0" xfId="0" applyNumberFormat="1" applyBorder="1">
      <alignment vertical="center"/>
    </xf>
    <xf numFmtId="181" fontId="0" fillId="0" borderId="0" xfId="0" applyNumberFormat="1" applyBorder="1">
      <alignment vertical="center"/>
    </xf>
    <xf numFmtId="10" fontId="0" fillId="0" borderId="17" xfId="42" applyNumberFormat="1" applyFont="1" applyBorder="1">
      <alignment vertical="center"/>
    </xf>
    <xf numFmtId="183" fontId="0" fillId="0" borderId="14" xfId="0" applyNumberFormat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4" fontId="21" fillId="0" borderId="14" xfId="0" applyNumberFormat="1" applyFont="1" applyBorder="1">
      <alignment vertical="center"/>
    </xf>
    <xf numFmtId="0" fontId="21" fillId="0" borderId="14" xfId="0" applyFont="1" applyBorder="1" applyAlignment="1">
      <alignment horizontal="center" vertical="center"/>
    </xf>
    <xf numFmtId="179" fontId="0" fillId="0" borderId="14" xfId="0" applyNumberFormat="1" applyBorder="1">
      <alignment vertical="center"/>
    </xf>
    <xf numFmtId="181" fontId="0" fillId="0" borderId="14" xfId="0" applyNumberFormat="1" applyBorder="1">
      <alignment vertical="center"/>
    </xf>
    <xf numFmtId="10" fontId="0" fillId="0" borderId="15" xfId="42" applyNumberFormat="1" applyFont="1" applyBorder="1">
      <alignment vertical="center"/>
    </xf>
    <xf numFmtId="183" fontId="0" fillId="35" borderId="14" xfId="0" applyNumberFormat="1" applyFill="1" applyBorder="1">
      <alignment vertical="center"/>
    </xf>
    <xf numFmtId="10" fontId="0" fillId="35" borderId="14" xfId="42" applyNumberFormat="1" applyFont="1" applyFill="1" applyBorder="1">
      <alignment vertical="center"/>
    </xf>
    <xf numFmtId="0" fontId="0" fillId="35" borderId="14" xfId="0" applyFill="1" applyBorder="1" applyAlignment="1">
      <alignment horizontal="center" vertical="center"/>
    </xf>
    <xf numFmtId="0" fontId="0" fillId="35" borderId="14" xfId="0" applyFill="1" applyBorder="1" applyAlignment="1">
      <alignment horizontal="left" vertical="center"/>
    </xf>
    <xf numFmtId="14" fontId="21" fillId="35" borderId="14" xfId="0" applyNumberFormat="1" applyFont="1" applyFill="1" applyBorder="1">
      <alignment vertical="center"/>
    </xf>
    <xf numFmtId="0" fontId="21" fillId="35" borderId="14" xfId="0" applyFont="1" applyFill="1" applyBorder="1" applyAlignment="1">
      <alignment horizontal="center" vertical="center"/>
    </xf>
    <xf numFmtId="179" fontId="0" fillId="35" borderId="14" xfId="0" applyNumberFormat="1" applyFill="1" applyBorder="1">
      <alignment vertical="center"/>
    </xf>
    <xf numFmtId="181" fontId="0" fillId="35" borderId="14" xfId="0" applyNumberFormat="1" applyFill="1" applyBorder="1">
      <alignment vertical="center"/>
    </xf>
    <xf numFmtId="10" fontId="0" fillId="35" borderId="15" xfId="42" applyNumberFormat="1" applyFont="1" applyFill="1" applyBorder="1">
      <alignment vertical="center"/>
    </xf>
    <xf numFmtId="1" fontId="0" fillId="0" borderId="0" xfId="0" applyNumberFormat="1" applyAlignment="1">
      <alignment horizontal="right" vertical="center"/>
    </xf>
    <xf numFmtId="1" fontId="0" fillId="0" borderId="10" xfId="0" applyNumberFormat="1" applyBorder="1" applyAlignment="1">
      <alignment horizontal="right" vertical="center"/>
    </xf>
    <xf numFmtId="1" fontId="0" fillId="0" borderId="16" xfId="0" applyNumberFormat="1" applyBorder="1" applyAlignment="1">
      <alignment horizontal="right" vertical="center"/>
    </xf>
    <xf numFmtId="1" fontId="0" fillId="35" borderId="13" xfId="0" applyNumberFormat="1" applyFill="1" applyBorder="1" applyAlignment="1">
      <alignment horizontal="right" vertical="center"/>
    </xf>
    <xf numFmtId="1" fontId="0" fillId="0" borderId="13" xfId="0" applyNumberFormat="1" applyBorder="1" applyAlignment="1">
      <alignment horizontal="right" vertical="center"/>
    </xf>
    <xf numFmtId="1" fontId="0" fillId="34" borderId="0" xfId="0" applyNumberFormat="1" applyFill="1" applyAlignment="1">
      <alignment horizontal="right" vertical="center"/>
    </xf>
    <xf numFmtId="183" fontId="0" fillId="34" borderId="0" xfId="0" applyNumberFormat="1" applyFill="1">
      <alignment vertical="center"/>
    </xf>
    <xf numFmtId="183" fontId="0" fillId="34" borderId="14" xfId="0" applyNumberFormat="1" applyFill="1" applyBorder="1">
      <alignment vertical="center"/>
    </xf>
    <xf numFmtId="183" fontId="0" fillId="34" borderId="0" xfId="0" applyNumberFormat="1" applyFill="1" applyBorder="1">
      <alignment vertical="center"/>
    </xf>
    <xf numFmtId="183" fontId="0" fillId="34" borderId="11" xfId="0" applyNumberFormat="1" applyFill="1" applyBorder="1">
      <alignment vertical="center"/>
    </xf>
    <xf numFmtId="1" fontId="0" fillId="34" borderId="13" xfId="0" applyNumberFormat="1" applyFill="1" applyBorder="1" applyAlignment="1">
      <alignment horizontal="right" vertical="center"/>
    </xf>
    <xf numFmtId="1" fontId="0" fillId="34" borderId="16" xfId="0" applyNumberFormat="1" applyFill="1" applyBorder="1" applyAlignment="1">
      <alignment horizontal="right" vertical="center"/>
    </xf>
    <xf numFmtId="1" fontId="0" fillId="34" borderId="10" xfId="0" applyNumberFormat="1" applyFill="1" applyBorder="1" applyAlignment="1">
      <alignment horizontal="right" vertical="center"/>
    </xf>
    <xf numFmtId="0" fontId="0" fillId="34" borderId="0" xfId="0" applyFill="1" applyAlignment="1">
      <alignment horizontal="left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">
    <dxf>
      <fill>
        <patternFill patternType="solid">
          <fgColor rgb="FFFFF2CC"/>
          <bgColor rgb="FF000000"/>
        </patternFill>
      </fill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91C5-1D56-48EE-A4CE-D1E17133A0F8}">
  <sheetPr filterMode="1"/>
  <dimension ref="A1:P246"/>
  <sheetViews>
    <sheetView tabSelected="1" topLeftCell="C1" workbookViewId="0">
      <pane ySplit="1" topLeftCell="A9" activePane="bottomLeft" state="frozen"/>
      <selection pane="bottomLeft" activeCell="J251" sqref="J251"/>
    </sheetView>
  </sheetViews>
  <sheetFormatPr defaultRowHeight="16.5" x14ac:dyDescent="0.25"/>
  <cols>
    <col min="1" max="1" width="7.875" hidden="1" customWidth="1"/>
    <col min="2" max="2" width="9.375" style="10" hidden="1" customWidth="1"/>
    <col min="3" max="3" width="10.25" style="26" bestFit="1" customWidth="1"/>
    <col min="4" max="4" width="11.875" customWidth="1"/>
    <col min="5" max="5" width="9.875" style="4" customWidth="1"/>
    <col min="6" max="6" width="14.125" style="10" bestFit="1" customWidth="1"/>
    <col min="7" max="7" width="15.75" style="3" customWidth="1"/>
    <col min="8" max="8" width="12" style="19" customWidth="1"/>
    <col min="9" max="9" width="12.625" style="21" customWidth="1"/>
    <col min="10" max="10" width="13.25" style="12" customWidth="1"/>
    <col min="11" max="11" width="12.75" bestFit="1" customWidth="1"/>
    <col min="12" max="12" width="14.375" customWidth="1"/>
    <col min="13" max="13" width="12.75" style="12" bestFit="1" customWidth="1"/>
    <col min="14" max="14" width="13" style="13" bestFit="1" customWidth="1"/>
    <col min="15" max="15" width="14.375" style="4" customWidth="1"/>
    <col min="16" max="16" width="56" style="3" bestFit="1" customWidth="1"/>
  </cols>
  <sheetData>
    <row r="1" spans="1:16" s="1" customFormat="1" x14ac:dyDescent="0.25">
      <c r="A1" s="1" t="s">
        <v>0</v>
      </c>
      <c r="B1" s="5" t="s">
        <v>1</v>
      </c>
      <c r="C1" s="5" t="s">
        <v>2</v>
      </c>
      <c r="D1" s="1" t="s">
        <v>3</v>
      </c>
      <c r="E1" s="6" t="s">
        <v>4</v>
      </c>
      <c r="F1" s="5" t="s">
        <v>5</v>
      </c>
      <c r="G1" s="2" t="s">
        <v>6</v>
      </c>
      <c r="H1" s="17" t="s">
        <v>7</v>
      </c>
      <c r="I1" s="20" t="s">
        <v>8</v>
      </c>
      <c r="J1" s="14" t="s">
        <v>9</v>
      </c>
      <c r="K1" s="1" t="s">
        <v>10</v>
      </c>
      <c r="L1" s="1" t="s">
        <v>11</v>
      </c>
      <c r="M1" s="15" t="s">
        <v>12</v>
      </c>
      <c r="N1" s="16" t="s">
        <v>13</v>
      </c>
      <c r="O1" s="11" t="s">
        <v>14</v>
      </c>
      <c r="P1" s="2" t="s">
        <v>122</v>
      </c>
    </row>
    <row r="2" spans="1:16" x14ac:dyDescent="0.25">
      <c r="A2" t="s">
        <v>31</v>
      </c>
      <c r="B2" s="10" t="s">
        <v>32</v>
      </c>
      <c r="C2" s="65">
        <v>28568.02</v>
      </c>
      <c r="D2" s="66">
        <v>257.54999999999899</v>
      </c>
      <c r="E2" s="4">
        <v>9.0973410190646493E-3</v>
      </c>
      <c r="F2" s="10">
        <v>1</v>
      </c>
      <c r="G2" s="3">
        <v>20251211</v>
      </c>
      <c r="H2" s="18">
        <v>46002</v>
      </c>
      <c r="I2" s="21" t="s">
        <v>15</v>
      </c>
      <c r="J2" s="12">
        <v>8087246896</v>
      </c>
      <c r="K2" s="13">
        <v>13852057.783943901</v>
      </c>
      <c r="L2" s="4">
        <v>4.0816326530612197E-3</v>
      </c>
      <c r="M2" s="12">
        <v>6128987048.8634901</v>
      </c>
      <c r="N2" s="13">
        <v>10497896.7316915</v>
      </c>
      <c r="O2" s="4">
        <v>8.5714285714285701E-2</v>
      </c>
      <c r="P2" s="73" t="str">
        <f>TEXT(H2,"MM/DD")&amp;" "&amp;I2&amp;" ["&amp;TEXT(C2,"0")&amp;"] (dis： "&amp;TEXT(D2,"0")&amp;"，"&amp;TEXT(E2,"0.00%")&amp;" ) (vol_wei_pr："&amp;TEXT(O2,"0.00%")&amp;")"</f>
        <v>12/11 max [28568] (dis： 258，0.91% ) (vol_wei_pr：8.57%)</v>
      </c>
    </row>
    <row r="3" spans="1:16" hidden="1" x14ac:dyDescent="0.25">
      <c r="A3" t="s">
        <v>31</v>
      </c>
      <c r="B3" s="10" t="s">
        <v>32</v>
      </c>
      <c r="C3" s="60">
        <v>28554.61</v>
      </c>
      <c r="D3" s="22">
        <v>244.13999999999899</v>
      </c>
      <c r="E3" s="4">
        <v>8.6236646724692102E-3</v>
      </c>
      <c r="F3" s="10">
        <v>2</v>
      </c>
      <c r="G3" s="3" t="s">
        <v>33</v>
      </c>
      <c r="H3" s="18">
        <v>45965</v>
      </c>
      <c r="I3" s="21" t="s">
        <v>15</v>
      </c>
      <c r="J3" s="12">
        <v>8404740088</v>
      </c>
      <c r="K3" s="13">
        <v>29984306.172588501</v>
      </c>
      <c r="L3" s="4">
        <v>2.04081632653061E-2</v>
      </c>
      <c r="M3" s="12">
        <v>2498744178.0995402</v>
      </c>
      <c r="N3" s="13">
        <v>15294042.8728834</v>
      </c>
      <c r="O3" s="4">
        <v>8.9795918367346905E-2</v>
      </c>
      <c r="P3" s="3" t="str">
        <f t="shared" ref="P3:P66" si="0">TEXT(H3,"MM/DD")&amp;" "&amp;I3&amp;" ["&amp;TEXT(C3,"0")&amp;"] (dis： "&amp;TEXT(D3,"0")&amp;"，"&amp;TEXT(E3,"0.00%")&amp;" ) (vol_wei_pr："&amp;TEXT(O3,"0.00%")&amp;")"</f>
        <v>11/04 max [28555] (dis： 244，0.86% ) (vol_wei_pr：8.98%)</v>
      </c>
    </row>
    <row r="4" spans="1:16" hidden="1" x14ac:dyDescent="0.25">
      <c r="A4" t="s">
        <v>31</v>
      </c>
      <c r="B4" s="10" t="s">
        <v>32</v>
      </c>
      <c r="C4" s="60">
        <v>28527.68</v>
      </c>
      <c r="D4" s="22">
        <v>217.20999999999901</v>
      </c>
      <c r="E4" s="4">
        <v>7.67242649097662E-3</v>
      </c>
      <c r="F4" s="10">
        <v>3</v>
      </c>
      <c r="G4" s="3" t="s">
        <v>34</v>
      </c>
      <c r="H4" s="18">
        <v>45960</v>
      </c>
      <c r="I4" s="21" t="s">
        <v>15</v>
      </c>
      <c r="J4" s="12">
        <v>9446378341</v>
      </c>
      <c r="K4" s="13">
        <v>52963722.201098703</v>
      </c>
      <c r="L4" s="4">
        <v>7.3469387755102006E-2</v>
      </c>
      <c r="M4" s="12">
        <v>2531094405.7403498</v>
      </c>
      <c r="N4" s="13">
        <v>21451224.943867899</v>
      </c>
      <c r="O4" s="4">
        <v>0.11020408163265299</v>
      </c>
      <c r="P4" s="3" t="str">
        <f t="shared" si="0"/>
        <v>10/30 max [28528] (dis： 217，0.77% ) (vol_wei_pr：11.02%)</v>
      </c>
    </row>
    <row r="5" spans="1:16" hidden="1" x14ac:dyDescent="0.25">
      <c r="A5" t="s">
        <v>31</v>
      </c>
      <c r="B5" s="10" t="s">
        <v>32</v>
      </c>
      <c r="C5" s="60">
        <v>28494.99</v>
      </c>
      <c r="D5" s="22">
        <v>184.52</v>
      </c>
      <c r="E5" s="4">
        <v>6.5177300129598799E-3</v>
      </c>
      <c r="F5" s="10">
        <v>4</v>
      </c>
      <c r="G5" s="3" t="s">
        <v>35</v>
      </c>
      <c r="H5" s="18">
        <v>45964</v>
      </c>
      <c r="I5" s="21" t="s">
        <v>15</v>
      </c>
      <c r="J5" s="12">
        <v>8299689369</v>
      </c>
      <c r="K5" s="13">
        <v>77052911.755286798</v>
      </c>
      <c r="L5" s="4">
        <v>0.10204081632653</v>
      </c>
      <c r="M5" s="12">
        <v>2383459881.2891698</v>
      </c>
      <c r="N5" s="13">
        <v>28369028.047394902</v>
      </c>
      <c r="O5" s="4">
        <v>0.118367346938775</v>
      </c>
      <c r="P5" s="3" t="str">
        <f t="shared" si="0"/>
        <v>11/03 max [28495] (dis： 185，0.65% ) (vol_wei_pr：11.84%)</v>
      </c>
    </row>
    <row r="6" spans="1:16" x14ac:dyDescent="0.25">
      <c r="A6" t="s">
        <v>31</v>
      </c>
      <c r="B6" s="10" t="s">
        <v>32</v>
      </c>
      <c r="C6" s="65">
        <v>28489.759999999998</v>
      </c>
      <c r="D6" s="66">
        <v>179.28999999999701</v>
      </c>
      <c r="E6" s="4">
        <v>6.3329927055254497E-3</v>
      </c>
      <c r="F6" s="10">
        <v>5</v>
      </c>
      <c r="G6" s="3" t="s">
        <v>18</v>
      </c>
      <c r="H6" s="18">
        <v>45961</v>
      </c>
      <c r="I6" s="21" t="s">
        <v>15</v>
      </c>
      <c r="J6" s="12">
        <v>8339995492</v>
      </c>
      <c r="K6" s="13">
        <v>109578926.700101</v>
      </c>
      <c r="L6" s="4">
        <v>0.130612244897959</v>
      </c>
      <c r="M6" s="12">
        <v>2313451098.77666</v>
      </c>
      <c r="N6" s="13">
        <v>37391496.355092198</v>
      </c>
      <c r="O6" s="4">
        <v>0.159183673469387</v>
      </c>
      <c r="P6" s="73" t="str">
        <f t="shared" si="0"/>
        <v>10/31 max [28490] (dis： 179，0.63% ) (vol_wei_pr：15.92%)</v>
      </c>
    </row>
    <row r="7" spans="1:16" hidden="1" x14ac:dyDescent="0.25">
      <c r="A7" t="s">
        <v>31</v>
      </c>
      <c r="B7" s="10" t="s">
        <v>32</v>
      </c>
      <c r="C7" s="61">
        <v>28417.09</v>
      </c>
      <c r="D7" s="27">
        <v>106.619999999998</v>
      </c>
      <c r="E7" s="7">
        <v>3.76609784295347E-3</v>
      </c>
      <c r="F7" s="28">
        <v>6</v>
      </c>
      <c r="G7" s="29" t="s">
        <v>36</v>
      </c>
      <c r="H7" s="30">
        <v>46001</v>
      </c>
      <c r="I7" s="31" t="s">
        <v>15</v>
      </c>
      <c r="J7" s="32">
        <v>8239950462</v>
      </c>
      <c r="K7" s="33">
        <v>145985724.12863499</v>
      </c>
      <c r="L7" s="7">
        <v>0.25510204081632598</v>
      </c>
      <c r="M7" s="32">
        <v>6031996803.3573704</v>
      </c>
      <c r="N7" s="33">
        <v>64042832.030244902</v>
      </c>
      <c r="O7" s="34">
        <v>0.340816326530612</v>
      </c>
      <c r="P7" s="3" t="str">
        <f t="shared" si="0"/>
        <v>12/10 max [28417] (dis： 107，0.38% ) (vol_wei_pr：34.08%)</v>
      </c>
    </row>
    <row r="8" spans="1:16" ht="17.25" thickBot="1" x14ac:dyDescent="0.3">
      <c r="A8" t="s">
        <v>31</v>
      </c>
      <c r="B8" s="10" t="s">
        <v>32</v>
      </c>
      <c r="C8" s="70">
        <v>28400.73</v>
      </c>
      <c r="D8" s="67">
        <v>90.259999999998399</v>
      </c>
      <c r="E8" s="8">
        <v>3.1882197646311899E-3</v>
      </c>
      <c r="F8" s="44">
        <v>6</v>
      </c>
      <c r="G8" s="45" t="s">
        <v>36</v>
      </c>
      <c r="H8" s="46">
        <v>46001</v>
      </c>
      <c r="I8" s="47" t="s">
        <v>16</v>
      </c>
      <c r="J8" s="48">
        <v>8239950462</v>
      </c>
      <c r="K8" s="49">
        <v>145985724.12863499</v>
      </c>
      <c r="L8" s="8">
        <v>0.25510204081632598</v>
      </c>
      <c r="M8" s="48">
        <v>6031996803.3573704</v>
      </c>
      <c r="N8" s="49">
        <v>64042832.030244902</v>
      </c>
      <c r="O8" s="50">
        <v>0.340816326530612</v>
      </c>
      <c r="P8" s="73" t="str">
        <f t="shared" si="0"/>
        <v>12/10 close [28401] (dis： 90，0.32% ) (vol_wei_pr：34.08%)</v>
      </c>
    </row>
    <row r="9" spans="1:16" x14ac:dyDescent="0.25">
      <c r="A9" t="s">
        <v>31</v>
      </c>
      <c r="B9" s="10" t="s">
        <v>32</v>
      </c>
      <c r="C9" s="65">
        <v>28395.31</v>
      </c>
      <c r="D9" s="66">
        <v>84.840000000000103</v>
      </c>
      <c r="E9" s="4">
        <v>2.9967711592213098E-3</v>
      </c>
      <c r="F9" s="10">
        <v>7</v>
      </c>
      <c r="G9" s="3" t="s">
        <v>30</v>
      </c>
      <c r="H9" s="18">
        <v>45959</v>
      </c>
      <c r="I9" s="21" t="s">
        <v>15</v>
      </c>
      <c r="J9" s="12">
        <v>9076231278</v>
      </c>
      <c r="K9" s="13">
        <v>181486902.56092799</v>
      </c>
      <c r="L9" s="4">
        <v>0.33877551020408098</v>
      </c>
      <c r="M9" s="12">
        <v>2349075970.6963401</v>
      </c>
      <c r="N9" s="13">
        <v>73231113.226741597</v>
      </c>
      <c r="O9" s="4">
        <v>0.34693877551020402</v>
      </c>
      <c r="P9" s="73" t="str">
        <f t="shared" si="0"/>
        <v>10/29 max [28395] (dis： 85，0.30% ) (vol_wei_pr：34.69%)</v>
      </c>
    </row>
    <row r="10" spans="1:16" hidden="1" x14ac:dyDescent="0.25">
      <c r="A10" t="s">
        <v>31</v>
      </c>
      <c r="B10" s="10" t="s">
        <v>32</v>
      </c>
      <c r="C10" s="61">
        <v>28390.240000000002</v>
      </c>
      <c r="D10" s="27">
        <v>79.770000000000394</v>
      </c>
      <c r="E10" s="7">
        <v>2.8176854711348901E-3</v>
      </c>
      <c r="F10" s="28">
        <v>8</v>
      </c>
      <c r="G10" s="29" t="s">
        <v>37</v>
      </c>
      <c r="H10" s="30">
        <v>46000</v>
      </c>
      <c r="I10" s="31" t="s">
        <v>15</v>
      </c>
      <c r="J10" s="32">
        <v>8116345692</v>
      </c>
      <c r="K10" s="33">
        <v>216325489.89835301</v>
      </c>
      <c r="L10" s="7">
        <v>0.35714285714285698</v>
      </c>
      <c r="M10" s="32">
        <v>5739123077.2674198</v>
      </c>
      <c r="N10" s="33">
        <v>97865714.579994798</v>
      </c>
      <c r="O10" s="34">
        <v>0.37346938775510202</v>
      </c>
      <c r="P10" s="3" t="str">
        <f t="shared" si="0"/>
        <v>12/09 max [28390] (dis： 80，0.28% ) (vol_wei_pr：37.35%)</v>
      </c>
    </row>
    <row r="11" spans="1:16" hidden="1" x14ac:dyDescent="0.25">
      <c r="A11" t="s">
        <v>31</v>
      </c>
      <c r="B11" s="10" t="s">
        <v>32</v>
      </c>
      <c r="C11" s="62">
        <v>28385.23</v>
      </c>
      <c r="D11" s="35">
        <v>74.759999999998399</v>
      </c>
      <c r="E11" s="9">
        <v>2.6407191403038598E-3</v>
      </c>
      <c r="F11" s="36">
        <v>8</v>
      </c>
      <c r="G11" s="37" t="s">
        <v>37</v>
      </c>
      <c r="H11" s="38">
        <v>46002</v>
      </c>
      <c r="I11" s="39" t="s">
        <v>17</v>
      </c>
      <c r="J11" s="40">
        <v>8087246896</v>
      </c>
      <c r="K11" s="41">
        <v>216325489.89835301</v>
      </c>
      <c r="L11" s="9">
        <v>0.35714285714285698</v>
      </c>
      <c r="M11" s="40">
        <v>6128987048.8634901</v>
      </c>
      <c r="N11" s="41">
        <v>97865714.579994798</v>
      </c>
      <c r="O11" s="42">
        <v>0.37346938775510202</v>
      </c>
      <c r="P11" s="3" t="str">
        <f t="shared" si="0"/>
        <v>12/11 open [28385] (dis： 75，0.26% ) (vol_wei_pr：37.35%)</v>
      </c>
    </row>
    <row r="12" spans="1:16" x14ac:dyDescent="0.25">
      <c r="A12" t="s">
        <v>31</v>
      </c>
      <c r="B12" s="10" t="s">
        <v>32</v>
      </c>
      <c r="C12" s="71">
        <v>28364.76</v>
      </c>
      <c r="D12" s="68">
        <v>54.2899999999972</v>
      </c>
      <c r="E12" s="9">
        <v>1.91766508998251E-3</v>
      </c>
      <c r="F12" s="36">
        <v>8</v>
      </c>
      <c r="G12" s="37" t="s">
        <v>37</v>
      </c>
      <c r="H12" s="38">
        <v>45965</v>
      </c>
      <c r="I12" s="39" t="s">
        <v>17</v>
      </c>
      <c r="J12" s="40">
        <v>8404740088</v>
      </c>
      <c r="K12" s="41">
        <v>216325489.89835301</v>
      </c>
      <c r="L12" s="9">
        <v>0.35714285714285698</v>
      </c>
      <c r="M12" s="40">
        <v>2498744178.0995402</v>
      </c>
      <c r="N12" s="41">
        <v>97865714.579994798</v>
      </c>
      <c r="O12" s="42">
        <v>0.37346938775510202</v>
      </c>
      <c r="P12" s="73" t="str">
        <f t="shared" si="0"/>
        <v>11/04 open [28365] (dis： 54，0.19% ) (vol_wei_pr：37.35%)</v>
      </c>
    </row>
    <row r="13" spans="1:16" ht="17.25" hidden="1" thickBot="1" x14ac:dyDescent="0.3">
      <c r="A13" t="s">
        <v>31</v>
      </c>
      <c r="B13" s="10" t="s">
        <v>32</v>
      </c>
      <c r="C13" s="64">
        <v>28364.04</v>
      </c>
      <c r="D13" s="43">
        <v>53.569999999999702</v>
      </c>
      <c r="E13" s="8">
        <v>1.8922328029170701E-3</v>
      </c>
      <c r="F13" s="44">
        <v>8</v>
      </c>
      <c r="G13" s="45" t="s">
        <v>37</v>
      </c>
      <c r="H13" s="46">
        <v>46000</v>
      </c>
      <c r="I13" s="47" t="s">
        <v>17</v>
      </c>
      <c r="J13" s="48">
        <v>8116345692</v>
      </c>
      <c r="K13" s="49">
        <v>216325489.89835301</v>
      </c>
      <c r="L13" s="8">
        <v>0.35714285714285698</v>
      </c>
      <c r="M13" s="48">
        <v>5739123077.2674198</v>
      </c>
      <c r="N13" s="49">
        <v>97865714.579994798</v>
      </c>
      <c r="O13" s="50">
        <v>0.37346938775510202</v>
      </c>
      <c r="P13" s="3" t="str">
        <f t="shared" si="0"/>
        <v>12/09 open [28364] (dis： 54，0.19% ) (vol_wei_pr：37.35%)</v>
      </c>
    </row>
    <row r="14" spans="1:16" hidden="1" x14ac:dyDescent="0.25">
      <c r="A14" t="s">
        <v>31</v>
      </c>
      <c r="B14" s="10" t="s">
        <v>32</v>
      </c>
      <c r="C14" s="61">
        <v>28350.37</v>
      </c>
      <c r="D14" s="27">
        <v>39.899999999997803</v>
      </c>
      <c r="E14" s="7">
        <v>1.40937257488123E-3</v>
      </c>
      <c r="F14" s="28">
        <v>9</v>
      </c>
      <c r="G14" s="29" t="s">
        <v>38</v>
      </c>
      <c r="H14" s="30">
        <v>46014</v>
      </c>
      <c r="I14" s="31" t="s">
        <v>15</v>
      </c>
      <c r="J14" s="32">
        <v>7965662925</v>
      </c>
      <c r="K14" s="33">
        <v>274244946.92591101</v>
      </c>
      <c r="L14" s="7">
        <v>0.43061224489795902</v>
      </c>
      <c r="M14" s="32">
        <v>7965662925</v>
      </c>
      <c r="N14" s="33">
        <v>155785171.60755199</v>
      </c>
      <c r="O14" s="34">
        <v>0.58571428571428497</v>
      </c>
      <c r="P14" s="3" t="str">
        <f t="shared" si="0"/>
        <v>12/23 max [28350] (dis： 40，0.14% ) (vol_wei_pr：58.57%)</v>
      </c>
    </row>
    <row r="15" spans="1:16" x14ac:dyDescent="0.25">
      <c r="A15" t="s">
        <v>31</v>
      </c>
      <c r="B15" s="10" t="s">
        <v>32</v>
      </c>
      <c r="C15" s="71">
        <v>28350.240000000002</v>
      </c>
      <c r="D15" s="68">
        <v>39.770000000000401</v>
      </c>
      <c r="E15" s="9">
        <v>1.40478063416115E-3</v>
      </c>
      <c r="F15" s="36">
        <v>9</v>
      </c>
      <c r="G15" s="37" t="s">
        <v>38</v>
      </c>
      <c r="H15" s="38">
        <v>45960</v>
      </c>
      <c r="I15" s="39" t="s">
        <v>17</v>
      </c>
      <c r="J15" s="40">
        <v>9446378341</v>
      </c>
      <c r="K15" s="41">
        <v>274244946.92591101</v>
      </c>
      <c r="L15" s="9">
        <v>0.43061224489795902</v>
      </c>
      <c r="M15" s="40">
        <v>2531094405.7403498</v>
      </c>
      <c r="N15" s="41">
        <v>155785171.60755199</v>
      </c>
      <c r="O15" s="42">
        <v>0.58571428571428497</v>
      </c>
      <c r="P15" s="73" t="str">
        <f t="shared" si="0"/>
        <v>10/30 open [28350] (dis： 40，0.14% ) (vol_wei_pr：58.57%)</v>
      </c>
    </row>
    <row r="16" spans="1:16" hidden="1" x14ac:dyDescent="0.25">
      <c r="A16" t="s">
        <v>31</v>
      </c>
      <c r="B16" s="10" t="s">
        <v>32</v>
      </c>
      <c r="C16" s="62">
        <v>28334.59</v>
      </c>
      <c r="D16" s="35">
        <v>24.1199999999989</v>
      </c>
      <c r="E16" s="9">
        <v>8.5198161669512999E-4</v>
      </c>
      <c r="F16" s="36">
        <v>9</v>
      </c>
      <c r="G16" s="37" t="s">
        <v>38</v>
      </c>
      <c r="H16" s="38">
        <v>45964</v>
      </c>
      <c r="I16" s="39" t="s">
        <v>16</v>
      </c>
      <c r="J16" s="40">
        <v>8299689369</v>
      </c>
      <c r="K16" s="41">
        <v>274244946.92591101</v>
      </c>
      <c r="L16" s="9">
        <v>0.43061224489795902</v>
      </c>
      <c r="M16" s="40">
        <v>2383459881.2891698</v>
      </c>
      <c r="N16" s="41">
        <v>155785171.60755199</v>
      </c>
      <c r="O16" s="42">
        <v>0.58571428571428497</v>
      </c>
      <c r="P16" s="3" t="str">
        <f t="shared" si="0"/>
        <v>11/03 close [28335] (dis： 24，0.09% ) (vol_wei_pr：58.57%)</v>
      </c>
    </row>
    <row r="17" spans="1:16" s="23" customFormat="1" ht="17.25" hidden="1" thickBot="1" x14ac:dyDescent="0.3">
      <c r="A17" s="23" t="s">
        <v>31</v>
      </c>
      <c r="B17" s="24" t="s">
        <v>32</v>
      </c>
      <c r="C17" s="63">
        <v>28310.47</v>
      </c>
      <c r="D17" s="51">
        <v>0</v>
      </c>
      <c r="E17" s="52">
        <v>0</v>
      </c>
      <c r="F17" s="53">
        <v>9</v>
      </c>
      <c r="G17" s="54" t="s">
        <v>38</v>
      </c>
      <c r="H17" s="55">
        <v>46014</v>
      </c>
      <c r="I17" s="56" t="s">
        <v>16</v>
      </c>
      <c r="J17" s="57">
        <v>7965662925</v>
      </c>
      <c r="K17" s="58">
        <v>274244946.92591101</v>
      </c>
      <c r="L17" s="52">
        <v>0.43061224489795902</v>
      </c>
      <c r="M17" s="57">
        <v>7965662925</v>
      </c>
      <c r="N17" s="58">
        <v>155785171.60755199</v>
      </c>
      <c r="O17" s="59">
        <v>0.58571428571428497</v>
      </c>
      <c r="P17" s="25" t="str">
        <f t="shared" si="0"/>
        <v>12/23 close [28310] (dis： 0，0.00% ) (vol_wei_pr：58.57%)</v>
      </c>
    </row>
    <row r="18" spans="1:16" hidden="1" x14ac:dyDescent="0.25">
      <c r="A18" t="s">
        <v>31</v>
      </c>
      <c r="B18" s="10" t="s">
        <v>32</v>
      </c>
      <c r="C18" s="61">
        <v>28303.78</v>
      </c>
      <c r="D18" s="27">
        <v>-6.6900000000023203</v>
      </c>
      <c r="E18" s="7">
        <v>-2.3630833398393999E-4</v>
      </c>
      <c r="F18" s="28">
        <v>10</v>
      </c>
      <c r="G18" s="29" t="s">
        <v>39</v>
      </c>
      <c r="H18" s="30">
        <v>45999</v>
      </c>
      <c r="I18" s="31" t="s">
        <v>16</v>
      </c>
      <c r="J18" s="32">
        <v>7603908443</v>
      </c>
      <c r="K18" s="33">
        <v>301657284.94458503</v>
      </c>
      <c r="L18" s="7">
        <v>0.55102040816326503</v>
      </c>
      <c r="M18" s="32">
        <v>5193622520.9063101</v>
      </c>
      <c r="N18" s="33">
        <v>174508350.24018601</v>
      </c>
      <c r="O18" s="34">
        <v>0.71428571428571397</v>
      </c>
      <c r="P18" s="3" t="str">
        <f t="shared" si="0"/>
        <v>12/08 close [28304] (dis： -7，-0.02% ) (vol_wei_pr：71.43%)</v>
      </c>
    </row>
    <row r="19" spans="1:16" hidden="1" x14ac:dyDescent="0.25">
      <c r="A19" t="s">
        <v>31</v>
      </c>
      <c r="B19" s="10" t="s">
        <v>32</v>
      </c>
      <c r="C19" s="62">
        <v>28303.78</v>
      </c>
      <c r="D19" s="35">
        <v>-6.6900000000023203</v>
      </c>
      <c r="E19" s="9">
        <v>-2.3630833398393999E-4</v>
      </c>
      <c r="F19" s="36">
        <v>10</v>
      </c>
      <c r="G19" s="37" t="s">
        <v>39</v>
      </c>
      <c r="H19" s="38">
        <v>45999</v>
      </c>
      <c r="I19" s="39" t="s">
        <v>15</v>
      </c>
      <c r="J19" s="40">
        <v>7603908443</v>
      </c>
      <c r="K19" s="41">
        <v>301657284.94458503</v>
      </c>
      <c r="L19" s="9">
        <v>0.55102040816326503</v>
      </c>
      <c r="M19" s="40">
        <v>5193622520.9063101</v>
      </c>
      <c r="N19" s="41">
        <v>174508350.24018601</v>
      </c>
      <c r="O19" s="42">
        <v>0.71428571428571397</v>
      </c>
      <c r="P19" s="3" t="str">
        <f t="shared" si="0"/>
        <v>12/08 max [28304] (dis： -7，-0.02% ) (vol_wei_pr：71.43%)</v>
      </c>
    </row>
    <row r="20" spans="1:16" hidden="1" x14ac:dyDescent="0.25">
      <c r="A20" t="s">
        <v>31</v>
      </c>
      <c r="B20" s="10" t="s">
        <v>32</v>
      </c>
      <c r="C20" s="62">
        <v>28294.74</v>
      </c>
      <c r="D20" s="35">
        <v>-15.729999999999499</v>
      </c>
      <c r="E20" s="9">
        <v>-5.55624827139908E-4</v>
      </c>
      <c r="F20" s="36">
        <v>10</v>
      </c>
      <c r="G20" s="37" t="s">
        <v>39</v>
      </c>
      <c r="H20" s="38">
        <v>45959</v>
      </c>
      <c r="I20" s="39" t="s">
        <v>16</v>
      </c>
      <c r="J20" s="40">
        <v>9076231278</v>
      </c>
      <c r="K20" s="41">
        <v>301657284.94458503</v>
      </c>
      <c r="L20" s="9">
        <v>0.55102040816326503</v>
      </c>
      <c r="M20" s="40">
        <v>2349075970.6963401</v>
      </c>
      <c r="N20" s="41">
        <v>174508350.24018601</v>
      </c>
      <c r="O20" s="42">
        <v>0.71428571428571397</v>
      </c>
      <c r="P20" s="3" t="str">
        <f t="shared" si="0"/>
        <v>10/29 close [28295] (dis： -16，-0.06% ) (vol_wei_pr：71.43%)</v>
      </c>
    </row>
    <row r="21" spans="1:16" ht="17.25" thickBot="1" x14ac:dyDescent="0.3">
      <c r="A21" t="s">
        <v>31</v>
      </c>
      <c r="B21" s="10" t="s">
        <v>32</v>
      </c>
      <c r="C21" s="71">
        <v>28287.53</v>
      </c>
      <c r="D21" s="68">
        <v>-22.9400000000023</v>
      </c>
      <c r="E21" s="9">
        <v>-8.1030092400452298E-4</v>
      </c>
      <c r="F21" s="36">
        <v>10</v>
      </c>
      <c r="G21" s="37" t="s">
        <v>39</v>
      </c>
      <c r="H21" s="38">
        <v>45960</v>
      </c>
      <c r="I21" s="39" t="s">
        <v>16</v>
      </c>
      <c r="J21" s="40">
        <v>9446378341</v>
      </c>
      <c r="K21" s="41">
        <v>301657284.94458503</v>
      </c>
      <c r="L21" s="9">
        <v>0.55102040816326503</v>
      </c>
      <c r="M21" s="40">
        <v>2531094405.7403498</v>
      </c>
      <c r="N21" s="41">
        <v>174508350.24018601</v>
      </c>
      <c r="O21" s="42">
        <v>0.71428571428571397</v>
      </c>
      <c r="P21" s="73" t="str">
        <f t="shared" si="0"/>
        <v>10/30 close [28288] (dis： -23，-0.08% ) (vol_wei_pr：71.43%)</v>
      </c>
    </row>
    <row r="22" spans="1:16" ht="17.25" hidden="1" thickBot="1" x14ac:dyDescent="0.3">
      <c r="A22" t="s">
        <v>31</v>
      </c>
      <c r="B22" s="10" t="s">
        <v>32</v>
      </c>
      <c r="C22" s="64">
        <v>28280.47</v>
      </c>
      <c r="D22" s="43">
        <v>-30</v>
      </c>
      <c r="E22" s="8">
        <v>-1.0596786277302999E-3</v>
      </c>
      <c r="F22" s="44">
        <v>10</v>
      </c>
      <c r="G22" s="45" t="s">
        <v>39</v>
      </c>
      <c r="H22" s="46">
        <v>45961</v>
      </c>
      <c r="I22" s="47" t="s">
        <v>17</v>
      </c>
      <c r="J22" s="48">
        <v>8339995492</v>
      </c>
      <c r="K22" s="49">
        <v>301657284.94458503</v>
      </c>
      <c r="L22" s="8">
        <v>0.55102040816326503</v>
      </c>
      <c r="M22" s="48">
        <v>2313451098.77666</v>
      </c>
      <c r="N22" s="49">
        <v>174508350.24018601</v>
      </c>
      <c r="O22" s="50">
        <v>0.71428571428571397</v>
      </c>
      <c r="P22" s="3" t="str">
        <f t="shared" si="0"/>
        <v>10/31 open [28280] (dis： -30，-0.11% ) (vol_wei_pr：71.43%)</v>
      </c>
    </row>
    <row r="23" spans="1:16" x14ac:dyDescent="0.25">
      <c r="A23" t="s">
        <v>31</v>
      </c>
      <c r="B23" s="10" t="s">
        <v>32</v>
      </c>
      <c r="C23" s="72">
        <v>28272.06</v>
      </c>
      <c r="D23" s="69">
        <v>-38.409999999999798</v>
      </c>
      <c r="E23" s="7">
        <v>-1.35674186970403E-3</v>
      </c>
      <c r="F23" s="28">
        <v>11</v>
      </c>
      <c r="G23" s="29" t="s">
        <v>40</v>
      </c>
      <c r="H23" s="30">
        <v>46003</v>
      </c>
      <c r="I23" s="31" t="s">
        <v>15</v>
      </c>
      <c r="J23" s="32">
        <v>8508400161</v>
      </c>
      <c r="K23" s="33">
        <v>344046683.913297</v>
      </c>
      <c r="L23" s="7">
        <v>0.69387755102040805</v>
      </c>
      <c r="M23" s="32">
        <v>6675555464.8627501</v>
      </c>
      <c r="N23" s="33">
        <v>207766398.59043899</v>
      </c>
      <c r="O23" s="34">
        <v>0.92653061224489797</v>
      </c>
      <c r="P23" s="73" t="str">
        <f t="shared" si="0"/>
        <v>12/12 max [28272] (dis： -38，-0.14% ) (vol_wei_pr：92.65%)</v>
      </c>
    </row>
    <row r="24" spans="1:16" hidden="1" x14ac:dyDescent="0.25">
      <c r="A24" t="s">
        <v>31</v>
      </c>
      <c r="B24" s="10" t="s">
        <v>32</v>
      </c>
      <c r="C24" s="62">
        <v>28253.53</v>
      </c>
      <c r="D24" s="35">
        <v>-56.9400000000023</v>
      </c>
      <c r="E24" s="9">
        <v>-2.0112700354322E-3</v>
      </c>
      <c r="F24" s="36">
        <v>11</v>
      </c>
      <c r="G24" s="37" t="s">
        <v>40</v>
      </c>
      <c r="H24" s="38">
        <v>45964</v>
      </c>
      <c r="I24" s="39" t="s">
        <v>17</v>
      </c>
      <c r="J24" s="40">
        <v>8299689369</v>
      </c>
      <c r="K24" s="41">
        <v>344046683.913297</v>
      </c>
      <c r="L24" s="9">
        <v>0.69387755102040805</v>
      </c>
      <c r="M24" s="40">
        <v>2383459881.2891698</v>
      </c>
      <c r="N24" s="41">
        <v>207766398.59043899</v>
      </c>
      <c r="O24" s="42">
        <v>0.92653061224489797</v>
      </c>
      <c r="P24" s="3" t="str">
        <f t="shared" si="0"/>
        <v>11/03 open [28254] (dis： -57，-0.20% ) (vol_wei_pr：92.65%)</v>
      </c>
    </row>
    <row r="25" spans="1:16" hidden="1" x14ac:dyDescent="0.25">
      <c r="A25" t="s">
        <v>31</v>
      </c>
      <c r="B25" s="10" t="s">
        <v>32</v>
      </c>
      <c r="C25" s="62">
        <v>28253.14</v>
      </c>
      <c r="D25" s="35">
        <v>-57.330000000001696</v>
      </c>
      <c r="E25" s="9">
        <v>-2.0250458575926701E-3</v>
      </c>
      <c r="F25" s="36">
        <v>11</v>
      </c>
      <c r="G25" s="37" t="s">
        <v>40</v>
      </c>
      <c r="H25" s="38">
        <v>46014</v>
      </c>
      <c r="I25" s="39" t="s">
        <v>17</v>
      </c>
      <c r="J25" s="40">
        <v>7965662925</v>
      </c>
      <c r="K25" s="41">
        <v>344046683.913297</v>
      </c>
      <c r="L25" s="9">
        <v>0.69387755102040805</v>
      </c>
      <c r="M25" s="40">
        <v>7965662925</v>
      </c>
      <c r="N25" s="41">
        <v>207766398.59043899</v>
      </c>
      <c r="O25" s="42">
        <v>0.92653061224489797</v>
      </c>
      <c r="P25" s="3" t="str">
        <f t="shared" si="0"/>
        <v>12/23 open [28253] (dis： -57，-0.20% ) (vol_wei_pr：92.65%)</v>
      </c>
    </row>
    <row r="26" spans="1:16" hidden="1" x14ac:dyDescent="0.25">
      <c r="A26" t="s">
        <v>31</v>
      </c>
      <c r="B26" s="10" t="s">
        <v>32</v>
      </c>
      <c r="C26" s="62">
        <v>28233.35</v>
      </c>
      <c r="D26" s="35">
        <v>-77.120000000002605</v>
      </c>
      <c r="E26" s="9">
        <v>-2.7240805256854598E-3</v>
      </c>
      <c r="F26" s="36">
        <v>11</v>
      </c>
      <c r="G26" s="37" t="s">
        <v>40</v>
      </c>
      <c r="H26" s="38">
        <v>45961</v>
      </c>
      <c r="I26" s="39" t="s">
        <v>16</v>
      </c>
      <c r="J26" s="40">
        <v>8339995492</v>
      </c>
      <c r="K26" s="41">
        <v>344046683.913297</v>
      </c>
      <c r="L26" s="9">
        <v>0.69387755102040805</v>
      </c>
      <c r="M26" s="40">
        <v>2313451098.77666</v>
      </c>
      <c r="N26" s="41">
        <v>207766398.59043899</v>
      </c>
      <c r="O26" s="42">
        <v>0.92653061224489797</v>
      </c>
      <c r="P26" s="3" t="str">
        <f t="shared" si="0"/>
        <v>10/31 close [28233] (dis： -77，-0.27% ) (vol_wei_pr：92.65%)</v>
      </c>
    </row>
    <row r="27" spans="1:16" ht="17.25" hidden="1" thickBot="1" x14ac:dyDescent="0.3">
      <c r="A27" t="s">
        <v>31</v>
      </c>
      <c r="B27" s="10" t="s">
        <v>32</v>
      </c>
      <c r="C27" s="64">
        <v>28233.35</v>
      </c>
      <c r="D27" s="43">
        <v>-77.120000000002605</v>
      </c>
      <c r="E27" s="8">
        <v>-2.7240805256854598E-3</v>
      </c>
      <c r="F27" s="44">
        <v>11</v>
      </c>
      <c r="G27" s="45" t="s">
        <v>40</v>
      </c>
      <c r="H27" s="46">
        <v>45961</v>
      </c>
      <c r="I27" s="47" t="s">
        <v>19</v>
      </c>
      <c r="J27" s="48">
        <v>8339995492</v>
      </c>
      <c r="K27" s="49">
        <v>344046683.913297</v>
      </c>
      <c r="L27" s="8">
        <v>0.69387755102040805</v>
      </c>
      <c r="M27" s="48">
        <v>2313451098.77666</v>
      </c>
      <c r="N27" s="49">
        <v>207766398.59043899</v>
      </c>
      <c r="O27" s="50">
        <v>0.92653061224489797</v>
      </c>
      <c r="P27" s="3" t="str">
        <f t="shared" si="0"/>
        <v>10/31 min [28233] (dis： -77，-0.27% ) (vol_wei_pr：92.65%)</v>
      </c>
    </row>
    <row r="28" spans="1:16" ht="17.25" thickBot="1" x14ac:dyDescent="0.3">
      <c r="A28" t="s">
        <v>31</v>
      </c>
      <c r="B28" s="10" t="s">
        <v>32</v>
      </c>
      <c r="C28" s="65">
        <v>28212.84</v>
      </c>
      <c r="D28" s="66">
        <v>-97.630000000001004</v>
      </c>
      <c r="E28" s="4">
        <v>-3.4485474808436901E-3</v>
      </c>
      <c r="F28" s="10">
        <v>10</v>
      </c>
      <c r="G28" s="3" t="s">
        <v>41</v>
      </c>
      <c r="H28" s="18">
        <v>46014</v>
      </c>
      <c r="I28" s="21" t="s">
        <v>19</v>
      </c>
      <c r="J28" s="12">
        <v>7965662925</v>
      </c>
      <c r="K28" s="13">
        <v>311520668.96848202</v>
      </c>
      <c r="L28" s="4">
        <v>0.57142857142857095</v>
      </c>
      <c r="M28" s="12">
        <v>7965662925</v>
      </c>
      <c r="N28" s="13">
        <v>198743930.28274199</v>
      </c>
      <c r="O28" s="4">
        <v>0.84897959183673399</v>
      </c>
      <c r="P28" s="73" t="str">
        <f t="shared" si="0"/>
        <v>12/23 min [28213] (dis： -98，-0.34% ) (vol_wei_pr：84.90%)</v>
      </c>
    </row>
    <row r="29" spans="1:16" ht="17.25" hidden="1" thickBot="1" x14ac:dyDescent="0.3">
      <c r="A29" t="s">
        <v>31</v>
      </c>
      <c r="B29" s="10" t="s">
        <v>32</v>
      </c>
      <c r="C29" s="60">
        <v>28198.02</v>
      </c>
      <c r="D29" s="22">
        <v>-112.45</v>
      </c>
      <c r="E29" s="4">
        <v>-3.9720287229424497E-3</v>
      </c>
      <c r="F29" s="10">
        <v>9</v>
      </c>
      <c r="G29" s="3" t="s">
        <v>42</v>
      </c>
      <c r="H29" s="18">
        <v>46003</v>
      </c>
      <c r="I29" s="21" t="s">
        <v>16</v>
      </c>
      <c r="J29" s="12">
        <v>8508400161</v>
      </c>
      <c r="K29" s="13">
        <v>253601211.94092399</v>
      </c>
      <c r="L29" s="4">
        <v>0.39183673469387698</v>
      </c>
      <c r="M29" s="12">
        <v>6675555464.8627501</v>
      </c>
      <c r="N29" s="13">
        <v>140824473.25518399</v>
      </c>
      <c r="O29" s="4">
        <v>0.48571428571428499</v>
      </c>
      <c r="P29" s="3" t="str">
        <f t="shared" si="0"/>
        <v>12/12 close [28198] (dis： -112，-0.40% ) (vol_wei_pr：48.57%)</v>
      </c>
    </row>
    <row r="30" spans="1:16" ht="17.25" thickBot="1" x14ac:dyDescent="0.3">
      <c r="A30" t="s">
        <v>31</v>
      </c>
      <c r="B30" s="10" t="s">
        <v>32</v>
      </c>
      <c r="C30" s="72">
        <v>28196.33</v>
      </c>
      <c r="D30" s="69">
        <v>-114.13999999999901</v>
      </c>
      <c r="E30" s="7">
        <v>-4.0317239523045504E-3</v>
      </c>
      <c r="F30" s="28">
        <v>10</v>
      </c>
      <c r="G30" s="29" t="s">
        <v>43</v>
      </c>
      <c r="H30" s="30">
        <v>45957</v>
      </c>
      <c r="I30" s="31" t="s">
        <v>15</v>
      </c>
      <c r="J30" s="32">
        <v>9337097751</v>
      </c>
      <c r="K30" s="33">
        <v>299664841.69425398</v>
      </c>
      <c r="L30" s="7">
        <v>0.530612244897959</v>
      </c>
      <c r="M30" s="32">
        <v>2254760481.1033401</v>
      </c>
      <c r="N30" s="33">
        <v>151948106.610405</v>
      </c>
      <c r="O30" s="34">
        <v>0.55510204081632597</v>
      </c>
      <c r="P30" s="73" t="str">
        <f t="shared" si="0"/>
        <v>10/27 max [28196] (dis： -114，-0.40% ) (vol_wei_pr：55.51%)</v>
      </c>
    </row>
    <row r="31" spans="1:16" ht="17.25" hidden="1" thickBot="1" x14ac:dyDescent="0.3">
      <c r="A31" t="s">
        <v>31</v>
      </c>
      <c r="B31" s="10" t="s">
        <v>32</v>
      </c>
      <c r="C31" s="62">
        <v>28190.76</v>
      </c>
      <c r="D31" s="35">
        <v>-119.710000000002</v>
      </c>
      <c r="E31" s="9">
        <v>-4.2284709508532596E-3</v>
      </c>
      <c r="F31" s="36">
        <v>10</v>
      </c>
      <c r="G31" s="37" t="s">
        <v>43</v>
      </c>
      <c r="H31" s="38">
        <v>46001</v>
      </c>
      <c r="I31" s="39" t="s">
        <v>17</v>
      </c>
      <c r="J31" s="40">
        <v>8239950462</v>
      </c>
      <c r="K31" s="41">
        <v>299664841.69425398</v>
      </c>
      <c r="L31" s="9">
        <v>0.530612244897959</v>
      </c>
      <c r="M31" s="40">
        <v>6031996803.3573704</v>
      </c>
      <c r="N31" s="41">
        <v>151948106.610405</v>
      </c>
      <c r="O31" s="42">
        <v>0.55510204081632597</v>
      </c>
      <c r="P31" s="3" t="str">
        <f t="shared" si="0"/>
        <v>12/10 open [28191] (dis： -120，-0.42% ) (vol_wei_pr：55.51%)</v>
      </c>
    </row>
    <row r="32" spans="1:16" ht="17.25" hidden="1" thickBot="1" x14ac:dyDescent="0.3">
      <c r="A32" t="s">
        <v>31</v>
      </c>
      <c r="B32" s="10" t="s">
        <v>32</v>
      </c>
      <c r="C32" s="64">
        <v>28190.76</v>
      </c>
      <c r="D32" s="43">
        <v>-119.710000000002</v>
      </c>
      <c r="E32" s="8">
        <v>-4.2284709508532596E-3</v>
      </c>
      <c r="F32" s="44">
        <v>10</v>
      </c>
      <c r="G32" s="45" t="s">
        <v>43</v>
      </c>
      <c r="H32" s="46">
        <v>46001</v>
      </c>
      <c r="I32" s="47" t="s">
        <v>19</v>
      </c>
      <c r="J32" s="48">
        <v>8239950462</v>
      </c>
      <c r="K32" s="49">
        <v>299664841.69425398</v>
      </c>
      <c r="L32" s="8">
        <v>0.530612244897959</v>
      </c>
      <c r="M32" s="48">
        <v>6031996803.3573704</v>
      </c>
      <c r="N32" s="49">
        <v>151948106.610405</v>
      </c>
      <c r="O32" s="50">
        <v>0.55510204081632597</v>
      </c>
      <c r="P32" s="3" t="str">
        <f t="shared" si="0"/>
        <v>12/10 min [28191] (dis： -120，-0.42% ) (vol_wei_pr：55.51%)</v>
      </c>
    </row>
    <row r="33" spans="1:16" x14ac:dyDescent="0.25">
      <c r="A33" t="s">
        <v>31</v>
      </c>
      <c r="B33" s="10" t="s">
        <v>32</v>
      </c>
      <c r="C33" s="72">
        <v>28187.7</v>
      </c>
      <c r="D33" s="69">
        <v>-122.77</v>
      </c>
      <c r="E33" s="7">
        <v>-4.3365581708816698E-3</v>
      </c>
      <c r="F33" s="28">
        <v>10</v>
      </c>
      <c r="G33" s="29" t="s">
        <v>44</v>
      </c>
      <c r="H33" s="30">
        <v>45972</v>
      </c>
      <c r="I33" s="31" t="s">
        <v>15</v>
      </c>
      <c r="J33" s="32">
        <v>8924063428</v>
      </c>
      <c r="K33" s="33">
        <v>285415867.79892999</v>
      </c>
      <c r="L33" s="7">
        <v>0.48367346938775502</v>
      </c>
      <c r="M33" s="32">
        <v>3155132882.83883</v>
      </c>
      <c r="N33" s="33">
        <v>133130744.573586</v>
      </c>
      <c r="O33" s="34">
        <v>0.451020408163265</v>
      </c>
      <c r="P33" s="73" t="str">
        <f t="shared" si="0"/>
        <v>11/11 max [28188] (dis： -123，-0.43% ) (vol_wei_pr：45.10%)</v>
      </c>
    </row>
    <row r="34" spans="1:16" ht="17.25" hidden="1" thickBot="1" x14ac:dyDescent="0.3">
      <c r="A34" t="s">
        <v>31</v>
      </c>
      <c r="B34" s="10" t="s">
        <v>32</v>
      </c>
      <c r="C34" s="64">
        <v>28182.6</v>
      </c>
      <c r="D34" s="43">
        <v>-127.87000000000199</v>
      </c>
      <c r="E34" s="8">
        <v>-4.5167035375958996E-3</v>
      </c>
      <c r="F34" s="44">
        <v>10</v>
      </c>
      <c r="G34" s="45" t="s">
        <v>44</v>
      </c>
      <c r="H34" s="46">
        <v>46000</v>
      </c>
      <c r="I34" s="47" t="s">
        <v>16</v>
      </c>
      <c r="J34" s="48">
        <v>8116345692</v>
      </c>
      <c r="K34" s="49">
        <v>285415867.79892999</v>
      </c>
      <c r="L34" s="8">
        <v>0.48367346938775502</v>
      </c>
      <c r="M34" s="48">
        <v>5739123077.2674198</v>
      </c>
      <c r="N34" s="49">
        <v>133130744.573586</v>
      </c>
      <c r="O34" s="50">
        <v>0.451020408163265</v>
      </c>
      <c r="P34" s="3" t="str">
        <f t="shared" si="0"/>
        <v>12/09 close [28183] (dis： -128，-0.45% ) (vol_wei_pr：45.10%)</v>
      </c>
    </row>
    <row r="35" spans="1:16" hidden="1" x14ac:dyDescent="0.25">
      <c r="A35" t="s">
        <v>31</v>
      </c>
      <c r="B35" s="10" t="s">
        <v>32</v>
      </c>
      <c r="C35" s="61">
        <v>28168.75</v>
      </c>
      <c r="D35" s="27">
        <v>-141.72000000000099</v>
      </c>
      <c r="E35" s="7">
        <v>-5.0059218373979999E-3</v>
      </c>
      <c r="F35" s="28">
        <v>11</v>
      </c>
      <c r="G35" s="29" t="s">
        <v>45</v>
      </c>
      <c r="H35" s="30">
        <v>46013</v>
      </c>
      <c r="I35" s="31" t="s">
        <v>15</v>
      </c>
      <c r="J35" s="32">
        <v>8984157012</v>
      </c>
      <c r="K35" s="33">
        <v>334754969.40802503</v>
      </c>
      <c r="L35" s="7">
        <v>0.63673469387755099</v>
      </c>
      <c r="M35" s="32">
        <v>8678123642.6556892</v>
      </c>
      <c r="N35" s="33">
        <v>180789175.25432399</v>
      </c>
      <c r="O35" s="34">
        <v>0.77142857142857102</v>
      </c>
      <c r="P35" s="3" t="str">
        <f t="shared" si="0"/>
        <v>12/22 max [28169] (dis： -142，-0.50% ) (vol_wei_pr：77.14%)</v>
      </c>
    </row>
    <row r="36" spans="1:16" x14ac:dyDescent="0.25">
      <c r="A36" t="s">
        <v>31</v>
      </c>
      <c r="B36" s="10" t="s">
        <v>32</v>
      </c>
      <c r="C36" s="71">
        <v>28157.91</v>
      </c>
      <c r="D36" s="68">
        <v>-152.560000000001</v>
      </c>
      <c r="E36" s="9">
        <v>-5.3888190482178902E-3</v>
      </c>
      <c r="F36" s="36">
        <v>11</v>
      </c>
      <c r="G36" s="37" t="s">
        <v>45</v>
      </c>
      <c r="H36" s="38">
        <v>45959</v>
      </c>
      <c r="I36" s="39" t="s">
        <v>17</v>
      </c>
      <c r="J36" s="40">
        <v>9076231278</v>
      </c>
      <c r="K36" s="41">
        <v>334754969.40802503</v>
      </c>
      <c r="L36" s="9">
        <v>0.63673469387755099</v>
      </c>
      <c r="M36" s="40">
        <v>2349075970.6963401</v>
      </c>
      <c r="N36" s="41">
        <v>180789175.25432399</v>
      </c>
      <c r="O36" s="42">
        <v>0.77142857142857102</v>
      </c>
      <c r="P36" s="73" t="str">
        <f t="shared" si="0"/>
        <v>10/29 open [28158] (dis： -153，-0.54% ) (vol_wei_pr：77.14%)</v>
      </c>
    </row>
    <row r="37" spans="1:16" ht="17.25" hidden="1" thickBot="1" x14ac:dyDescent="0.3">
      <c r="A37" t="s">
        <v>31</v>
      </c>
      <c r="B37" s="10" t="s">
        <v>32</v>
      </c>
      <c r="C37" s="64">
        <v>28157.27</v>
      </c>
      <c r="D37" s="43">
        <v>-153.19999999999999</v>
      </c>
      <c r="E37" s="8">
        <v>-5.4114255256094502E-3</v>
      </c>
      <c r="F37" s="44">
        <v>11</v>
      </c>
      <c r="G37" s="45" t="s">
        <v>45</v>
      </c>
      <c r="H37" s="46">
        <v>46000</v>
      </c>
      <c r="I37" s="47" t="s">
        <v>19</v>
      </c>
      <c r="J37" s="48">
        <v>8116345692</v>
      </c>
      <c r="K37" s="49">
        <v>334754969.40802503</v>
      </c>
      <c r="L37" s="8">
        <v>0.63673469387755099</v>
      </c>
      <c r="M37" s="48">
        <v>5739123077.2674198</v>
      </c>
      <c r="N37" s="49">
        <v>180789175.25432399</v>
      </c>
      <c r="O37" s="50">
        <v>0.77142857142857102</v>
      </c>
      <c r="P37" s="3" t="str">
        <f t="shared" si="0"/>
        <v>12/09 min [28157] (dis： -153，-0.54% ) (vol_wei_pr：77.14%)</v>
      </c>
    </row>
    <row r="38" spans="1:16" x14ac:dyDescent="0.25">
      <c r="A38" t="s">
        <v>31</v>
      </c>
      <c r="B38" s="10" t="s">
        <v>32</v>
      </c>
      <c r="C38" s="65">
        <v>28150.45</v>
      </c>
      <c r="D38" s="66">
        <v>-160.02000000000001</v>
      </c>
      <c r="E38" s="4">
        <v>-5.6523258003134602E-3</v>
      </c>
      <c r="F38" s="10">
        <v>10</v>
      </c>
      <c r="G38" s="3" t="s">
        <v>46</v>
      </c>
      <c r="H38" s="18">
        <v>45964</v>
      </c>
      <c r="I38" s="21" t="s">
        <v>19</v>
      </c>
      <c r="J38" s="12">
        <v>8299689369</v>
      </c>
      <c r="K38" s="13">
        <v>299916382.07059902</v>
      </c>
      <c r="L38" s="4">
        <v>0.53877551020408099</v>
      </c>
      <c r="M38" s="12">
        <v>2383459881.2891698</v>
      </c>
      <c r="N38" s="13">
        <v>156154573.90107101</v>
      </c>
      <c r="O38" s="4">
        <v>0.60408163265306103</v>
      </c>
      <c r="P38" s="73" t="str">
        <f t="shared" si="0"/>
        <v>11/03 min [28150] (dis： -160，-0.57% ) (vol_wei_pr：60.41%)</v>
      </c>
    </row>
    <row r="39" spans="1:16" hidden="1" x14ac:dyDescent="0.25">
      <c r="A39" t="s">
        <v>31</v>
      </c>
      <c r="B39" s="10" t="s">
        <v>32</v>
      </c>
      <c r="C39" s="61">
        <v>28149.64</v>
      </c>
      <c r="D39" s="27">
        <v>-160.83000000000101</v>
      </c>
      <c r="E39" s="7">
        <v>-5.6809371232622299E-3</v>
      </c>
      <c r="F39" s="28">
        <v>9</v>
      </c>
      <c r="G39" s="29" t="s">
        <v>47</v>
      </c>
      <c r="H39" s="30">
        <v>46013</v>
      </c>
      <c r="I39" s="31" t="s">
        <v>16</v>
      </c>
      <c r="J39" s="32">
        <v>8984157012</v>
      </c>
      <c r="K39" s="33">
        <v>275827192.51641101</v>
      </c>
      <c r="L39" s="7">
        <v>0.44285714285714201</v>
      </c>
      <c r="M39" s="32">
        <v>8678123642.6556892</v>
      </c>
      <c r="N39" s="33">
        <v>149236770.797544</v>
      </c>
      <c r="O39" s="34">
        <v>0.53265306122448897</v>
      </c>
      <c r="P39" s="3" t="str">
        <f t="shared" si="0"/>
        <v>12/22 close [28150] (dis： -161，-0.57% ) (vol_wei_pr：53.27%)</v>
      </c>
    </row>
    <row r="40" spans="1:16" ht="17.25" thickBot="1" x14ac:dyDescent="0.3">
      <c r="A40" t="s">
        <v>31</v>
      </c>
      <c r="B40" s="10" t="s">
        <v>32</v>
      </c>
      <c r="C40" s="70">
        <v>28139.65</v>
      </c>
      <c r="D40" s="67">
        <v>-170.819999999999</v>
      </c>
      <c r="E40" s="8">
        <v>-6.0338101062963499E-3</v>
      </c>
      <c r="F40" s="44">
        <v>9</v>
      </c>
      <c r="G40" s="45" t="s">
        <v>47</v>
      </c>
      <c r="H40" s="46">
        <v>45959</v>
      </c>
      <c r="I40" s="47" t="s">
        <v>19</v>
      </c>
      <c r="J40" s="48">
        <v>9076231278</v>
      </c>
      <c r="K40" s="49">
        <v>275827192.51641101</v>
      </c>
      <c r="L40" s="8">
        <v>0.44285714285714201</v>
      </c>
      <c r="M40" s="48">
        <v>2349075970.6963401</v>
      </c>
      <c r="N40" s="49">
        <v>149236770.797544</v>
      </c>
      <c r="O40" s="50">
        <v>0.53265306122448897</v>
      </c>
      <c r="P40" s="73" t="str">
        <f t="shared" si="0"/>
        <v>10/29 min [28140] (dis： -171，-0.60% ) (vol_wei_pr：53.27%)</v>
      </c>
    </row>
    <row r="41" spans="1:16" hidden="1" x14ac:dyDescent="0.25">
      <c r="A41" t="s">
        <v>31</v>
      </c>
      <c r="B41" s="10" t="s">
        <v>32</v>
      </c>
      <c r="C41" s="61">
        <v>28119.79</v>
      </c>
      <c r="D41" s="27">
        <v>-190.68</v>
      </c>
      <c r="E41" s="7">
        <v>-6.7353173578538301E-3</v>
      </c>
      <c r="F41" s="28">
        <v>9</v>
      </c>
      <c r="G41" s="29" t="s">
        <v>48</v>
      </c>
      <c r="H41" s="30">
        <v>46006</v>
      </c>
      <c r="I41" s="31" t="s">
        <v>17</v>
      </c>
      <c r="J41" s="32">
        <v>7855274707</v>
      </c>
      <c r="K41" s="33">
        <v>258387438.500103</v>
      </c>
      <c r="L41" s="7">
        <v>0.4</v>
      </c>
      <c r="M41" s="32">
        <v>6380465704.7972698</v>
      </c>
      <c r="N41" s="33">
        <v>154718924.86453801</v>
      </c>
      <c r="O41" s="34">
        <v>0.56734693877551001</v>
      </c>
      <c r="P41" s="3" t="str">
        <f t="shared" si="0"/>
        <v>12/15 open [28120] (dis： -191，-0.67% ) (vol_wei_pr：56.73%)</v>
      </c>
    </row>
    <row r="42" spans="1:16" hidden="1" x14ac:dyDescent="0.25">
      <c r="A42" t="s">
        <v>31</v>
      </c>
      <c r="B42" s="10" t="s">
        <v>32</v>
      </c>
      <c r="C42" s="62">
        <v>28119.79</v>
      </c>
      <c r="D42" s="35">
        <v>-190.68</v>
      </c>
      <c r="E42" s="9">
        <v>-6.7353173578538301E-3</v>
      </c>
      <c r="F42" s="36">
        <v>9</v>
      </c>
      <c r="G42" s="37" t="s">
        <v>48</v>
      </c>
      <c r="H42" s="38">
        <v>46006</v>
      </c>
      <c r="I42" s="39" t="s">
        <v>15</v>
      </c>
      <c r="J42" s="40">
        <v>7855274707</v>
      </c>
      <c r="K42" s="41">
        <v>258387438.500103</v>
      </c>
      <c r="L42" s="9">
        <v>0.4</v>
      </c>
      <c r="M42" s="40">
        <v>6380465704.7972698</v>
      </c>
      <c r="N42" s="41">
        <v>154718924.86453801</v>
      </c>
      <c r="O42" s="42">
        <v>0.56734693877551001</v>
      </c>
      <c r="P42" s="3" t="str">
        <f t="shared" si="0"/>
        <v>12/15 max [28120] (dis： -191，-0.67% ) (vol_wei_pr：56.73%)</v>
      </c>
    </row>
    <row r="43" spans="1:16" ht="17.25" thickBot="1" x14ac:dyDescent="0.3">
      <c r="A43" t="s">
        <v>31</v>
      </c>
      <c r="B43" s="10" t="s">
        <v>32</v>
      </c>
      <c r="C43" s="70">
        <v>28116.6</v>
      </c>
      <c r="D43" s="67">
        <v>-193.87000000000199</v>
      </c>
      <c r="E43" s="8">
        <v>-6.84799651860257E-3</v>
      </c>
      <c r="F43" s="44">
        <v>9</v>
      </c>
      <c r="G43" s="45" t="s">
        <v>48</v>
      </c>
      <c r="H43" s="46">
        <v>45960</v>
      </c>
      <c r="I43" s="47" t="s">
        <v>19</v>
      </c>
      <c r="J43" s="48">
        <v>9446378341</v>
      </c>
      <c r="K43" s="49">
        <v>258387438.500103</v>
      </c>
      <c r="L43" s="8">
        <v>0.4</v>
      </c>
      <c r="M43" s="48">
        <v>2531094405.7403498</v>
      </c>
      <c r="N43" s="49">
        <v>154718924.86453801</v>
      </c>
      <c r="O43" s="50">
        <v>0.56734693877551001</v>
      </c>
      <c r="P43" s="73" t="str">
        <f t="shared" si="0"/>
        <v>10/30 min [28117] (dis： -194，-0.68% ) (vol_wei_pr：56.73%)</v>
      </c>
    </row>
    <row r="44" spans="1:16" ht="17.25" hidden="1" thickBot="1" x14ac:dyDescent="0.3">
      <c r="A44" t="s">
        <v>31</v>
      </c>
      <c r="B44" s="10" t="s">
        <v>32</v>
      </c>
      <c r="C44" s="60">
        <v>28116.560000000001</v>
      </c>
      <c r="D44" s="22">
        <v>-193.909999999999</v>
      </c>
      <c r="E44" s="4">
        <v>-6.84940942343945E-3</v>
      </c>
      <c r="F44" s="10">
        <v>8</v>
      </c>
      <c r="G44" s="3" t="s">
        <v>49</v>
      </c>
      <c r="H44" s="18">
        <v>45965</v>
      </c>
      <c r="I44" s="21" t="s">
        <v>16</v>
      </c>
      <c r="J44" s="12">
        <v>8404740088</v>
      </c>
      <c r="K44" s="13">
        <v>235408022.47159201</v>
      </c>
      <c r="L44" s="4">
        <v>0.38163265306122401</v>
      </c>
      <c r="M44" s="12">
        <v>2498744178.0995402</v>
      </c>
      <c r="N44" s="13">
        <v>148561742.79355299</v>
      </c>
      <c r="O44" s="4">
        <v>0.52448979591836697</v>
      </c>
      <c r="P44" s="3" t="str">
        <f t="shared" si="0"/>
        <v>11/04 close [28117] (dis： -194，-0.68% ) (vol_wei_pr：52.45%)</v>
      </c>
    </row>
    <row r="45" spans="1:16" ht="17.25" hidden="1" thickBot="1" x14ac:dyDescent="0.3">
      <c r="A45" t="s">
        <v>31</v>
      </c>
      <c r="B45" s="10" t="s">
        <v>32</v>
      </c>
      <c r="C45" s="60">
        <v>28097.54</v>
      </c>
      <c r="D45" s="22">
        <v>-212.93</v>
      </c>
      <c r="E45" s="4">
        <v>-7.5212456734204697E-3</v>
      </c>
      <c r="F45" s="10">
        <v>8</v>
      </c>
      <c r="G45" s="3" t="s">
        <v>49</v>
      </c>
      <c r="H45" s="18">
        <v>46003</v>
      </c>
      <c r="I45" s="21" t="s">
        <v>17</v>
      </c>
      <c r="J45" s="12">
        <v>8508400161</v>
      </c>
      <c r="K45" s="13">
        <v>235408022.47159201</v>
      </c>
      <c r="L45" s="4">
        <v>0.38163265306122401</v>
      </c>
      <c r="M45" s="12">
        <v>6675555464.8627501</v>
      </c>
      <c r="N45" s="13">
        <v>148561742.79355299</v>
      </c>
      <c r="O45" s="4">
        <v>0.52448979591836697</v>
      </c>
      <c r="P45" s="3" t="str">
        <f t="shared" si="0"/>
        <v>12/12 open [28098] (dis： -213，-0.75% ) (vol_wei_pr：52.45%)</v>
      </c>
    </row>
    <row r="46" spans="1:16" ht="17.25" hidden="1" thickBot="1" x14ac:dyDescent="0.3">
      <c r="A46" t="s">
        <v>31</v>
      </c>
      <c r="B46" s="10" t="s">
        <v>32</v>
      </c>
      <c r="C46" s="60">
        <v>28087.93</v>
      </c>
      <c r="D46" s="22">
        <v>-222.54</v>
      </c>
      <c r="E46" s="4">
        <v>-7.8606960605034394E-3</v>
      </c>
      <c r="F46" s="10">
        <v>9</v>
      </c>
      <c r="G46" s="3" t="s">
        <v>50</v>
      </c>
      <c r="H46" s="18">
        <v>45958</v>
      </c>
      <c r="I46" s="21" t="s">
        <v>15</v>
      </c>
      <c r="J46" s="12">
        <v>8579810711</v>
      </c>
      <c r="K46" s="13">
        <v>277817249.45493501</v>
      </c>
      <c r="L46" s="4">
        <v>0.44897959183673403</v>
      </c>
      <c r="M46" s="12">
        <v>2144952677.75</v>
      </c>
      <c r="N46" s="13">
        <v>159164049.53938901</v>
      </c>
      <c r="O46" s="4">
        <v>0.60816326530612197</v>
      </c>
      <c r="P46" s="3" t="str">
        <f t="shared" si="0"/>
        <v>10/28 max [28088] (dis： -223，-0.79% ) (vol_wei_pr：60.82%)</v>
      </c>
    </row>
    <row r="47" spans="1:16" x14ac:dyDescent="0.25">
      <c r="A47" t="s">
        <v>31</v>
      </c>
      <c r="B47" s="10" t="s">
        <v>32</v>
      </c>
      <c r="C47" s="72">
        <v>28071.759999999998</v>
      </c>
      <c r="D47" s="69">
        <v>-238.710000000002</v>
      </c>
      <c r="E47" s="7">
        <v>-8.4318628408501396E-3</v>
      </c>
      <c r="F47" s="28">
        <v>10</v>
      </c>
      <c r="G47" s="29" t="s">
        <v>51</v>
      </c>
      <c r="H47" s="30">
        <v>45973</v>
      </c>
      <c r="I47" s="31" t="s">
        <v>15</v>
      </c>
      <c r="J47" s="32">
        <v>8954069218</v>
      </c>
      <c r="K47" s="33">
        <v>310755997.31396902</v>
      </c>
      <c r="L47" s="7">
        <v>0.56530612244897904</v>
      </c>
      <c r="M47" s="32">
        <v>3277381165.6451998</v>
      </c>
      <c r="N47" s="33">
        <v>171220336.93508199</v>
      </c>
      <c r="O47" s="34">
        <v>0.68775510204081602</v>
      </c>
      <c r="P47" s="73" t="str">
        <f t="shared" si="0"/>
        <v>11/12 max [28072] (dis： -239，-0.84% ) (vol_wei_pr：68.78%)</v>
      </c>
    </row>
    <row r="48" spans="1:16" ht="17.25" hidden="1" thickBot="1" x14ac:dyDescent="0.3">
      <c r="A48" t="s">
        <v>31</v>
      </c>
      <c r="B48" s="10" t="s">
        <v>32</v>
      </c>
      <c r="C48" s="64">
        <v>28071.34</v>
      </c>
      <c r="D48" s="43">
        <v>-239.13000000000099</v>
      </c>
      <c r="E48" s="8">
        <v>-8.4466983416383E-3</v>
      </c>
      <c r="F48" s="44">
        <v>10</v>
      </c>
      <c r="G48" s="45" t="s">
        <v>51</v>
      </c>
      <c r="H48" s="46">
        <v>46003</v>
      </c>
      <c r="I48" s="47" t="s">
        <v>19</v>
      </c>
      <c r="J48" s="48">
        <v>8508400161</v>
      </c>
      <c r="K48" s="49">
        <v>310755997.31396902</v>
      </c>
      <c r="L48" s="8">
        <v>0.56530612244897904</v>
      </c>
      <c r="M48" s="48">
        <v>6675555464.8627501</v>
      </c>
      <c r="N48" s="49">
        <v>171220336.93508199</v>
      </c>
      <c r="O48" s="50">
        <v>0.68775510204081602</v>
      </c>
      <c r="P48" s="3" t="str">
        <f t="shared" si="0"/>
        <v>12/12 min [28071] (dis： -239，-0.84% ) (vol_wei_pr：68.78%)</v>
      </c>
    </row>
    <row r="49" spans="1:16" hidden="1" x14ac:dyDescent="0.25">
      <c r="A49" t="s">
        <v>31</v>
      </c>
      <c r="B49" s="10" t="s">
        <v>32</v>
      </c>
      <c r="C49" s="60">
        <v>28061.53</v>
      </c>
      <c r="D49" s="22">
        <v>-248.94000000000199</v>
      </c>
      <c r="E49" s="4">
        <v>-8.7932132529061607E-3</v>
      </c>
      <c r="F49" s="10">
        <v>10</v>
      </c>
      <c r="G49" s="3" t="s">
        <v>52</v>
      </c>
      <c r="H49" s="18">
        <v>45967</v>
      </c>
      <c r="I49" s="21" t="s">
        <v>15</v>
      </c>
      <c r="J49" s="12">
        <v>7863001986</v>
      </c>
      <c r="K49" s="13">
        <v>311610298.42775202</v>
      </c>
      <c r="L49" s="4">
        <v>0.57755102040816297</v>
      </c>
      <c r="M49" s="12">
        <v>2505468185.9721899</v>
      </c>
      <c r="N49" s="13">
        <v>151741467.96101701</v>
      </c>
      <c r="O49" s="4">
        <v>0.54489795918367301</v>
      </c>
      <c r="P49" s="3" t="str">
        <f t="shared" si="0"/>
        <v>11/06 max [28062] (dis： -249，-0.88% ) (vol_wei_pr：54.49%)</v>
      </c>
    </row>
    <row r="50" spans="1:16" ht="17.25" thickBot="1" x14ac:dyDescent="0.3">
      <c r="A50" t="s">
        <v>31</v>
      </c>
      <c r="B50" s="10" t="s">
        <v>32</v>
      </c>
      <c r="C50" s="65">
        <v>28041.01</v>
      </c>
      <c r="D50" s="66">
        <v>-269.46000000000203</v>
      </c>
      <c r="E50" s="4">
        <v>-9.5180334342737007E-3</v>
      </c>
      <c r="F50" s="10">
        <v>10</v>
      </c>
      <c r="G50" s="3" t="s">
        <v>52</v>
      </c>
      <c r="H50" s="18">
        <v>45958</v>
      </c>
      <c r="I50" s="21" t="s">
        <v>17</v>
      </c>
      <c r="J50" s="12">
        <v>8579810711</v>
      </c>
      <c r="K50" s="13">
        <v>311610298.42775202</v>
      </c>
      <c r="L50" s="4">
        <v>0.57755102040816297</v>
      </c>
      <c r="M50" s="12">
        <v>2144952677.75</v>
      </c>
      <c r="N50" s="13">
        <v>151741467.96101701</v>
      </c>
      <c r="O50" s="4">
        <v>0.54489795918367301</v>
      </c>
      <c r="P50" s="73" t="str">
        <f t="shared" si="0"/>
        <v>10/28 open [28041] (dis： -269，-0.95% ) (vol_wei_pr：54.49%)</v>
      </c>
    </row>
    <row r="51" spans="1:16" x14ac:dyDescent="0.25">
      <c r="A51" t="s">
        <v>31</v>
      </c>
      <c r="B51" s="10" t="s">
        <v>32</v>
      </c>
      <c r="C51" s="72">
        <v>28038.240000000002</v>
      </c>
      <c r="D51" s="69">
        <v>-272.229999999999</v>
      </c>
      <c r="E51" s="7">
        <v>-9.61587709423402E-3</v>
      </c>
      <c r="F51" s="28">
        <v>11</v>
      </c>
      <c r="G51" s="29" t="s">
        <v>53</v>
      </c>
      <c r="H51" s="30">
        <v>45974</v>
      </c>
      <c r="I51" s="31" t="s">
        <v>15</v>
      </c>
      <c r="J51" s="32">
        <v>10545273898</v>
      </c>
      <c r="K51" s="33">
        <v>358182192.160914</v>
      </c>
      <c r="L51" s="7">
        <v>0.77142857142857102</v>
      </c>
      <c r="M51" s="32">
        <v>3995911586.3970699</v>
      </c>
      <c r="N51" s="33">
        <v>169388915.67729601</v>
      </c>
      <c r="O51" s="34">
        <v>0.66938775510203996</v>
      </c>
      <c r="P51" s="73" t="str">
        <f t="shared" si="0"/>
        <v>11/13 max [28038] (dis： -272，-0.96% ) (vol_wei_pr：66.94%)</v>
      </c>
    </row>
    <row r="52" spans="1:16" hidden="1" x14ac:dyDescent="0.25">
      <c r="A52" t="s">
        <v>31</v>
      </c>
      <c r="B52" s="10" t="s">
        <v>32</v>
      </c>
      <c r="C52" s="62">
        <v>28034</v>
      </c>
      <c r="D52" s="35">
        <v>-276.47000000000099</v>
      </c>
      <c r="E52" s="9">
        <v>-9.7656450069532903E-3</v>
      </c>
      <c r="F52" s="36">
        <v>11</v>
      </c>
      <c r="G52" s="37" t="s">
        <v>53</v>
      </c>
      <c r="H52" s="38">
        <v>45999</v>
      </c>
      <c r="I52" s="39" t="s">
        <v>17</v>
      </c>
      <c r="J52" s="40">
        <v>7603908443</v>
      </c>
      <c r="K52" s="41">
        <v>358182192.160914</v>
      </c>
      <c r="L52" s="9">
        <v>0.77142857142857102</v>
      </c>
      <c r="M52" s="40">
        <v>5193622520.9063101</v>
      </c>
      <c r="N52" s="41">
        <v>169388915.67729601</v>
      </c>
      <c r="O52" s="42">
        <v>0.66938775510203996</v>
      </c>
      <c r="P52" s="3" t="str">
        <f t="shared" si="0"/>
        <v>12/08 open [28034] (dis： -276，-0.98% ) (vol_wei_pr：66.94%)</v>
      </c>
    </row>
    <row r="53" spans="1:16" ht="17.25" hidden="1" thickBot="1" x14ac:dyDescent="0.3">
      <c r="A53" t="s">
        <v>31</v>
      </c>
      <c r="B53" s="10" t="s">
        <v>32</v>
      </c>
      <c r="C53" s="64">
        <v>28033.62</v>
      </c>
      <c r="D53" s="43">
        <v>-276.85000000000201</v>
      </c>
      <c r="E53" s="8">
        <v>-9.7790676029045794E-3</v>
      </c>
      <c r="F53" s="44">
        <v>11</v>
      </c>
      <c r="G53" s="45" t="s">
        <v>53</v>
      </c>
      <c r="H53" s="46">
        <v>45965</v>
      </c>
      <c r="I53" s="47" t="s">
        <v>19</v>
      </c>
      <c r="J53" s="48">
        <v>8404740088</v>
      </c>
      <c r="K53" s="49">
        <v>358182192.160914</v>
      </c>
      <c r="L53" s="8">
        <v>0.77142857142857102</v>
      </c>
      <c r="M53" s="48">
        <v>2498744178.0995402</v>
      </c>
      <c r="N53" s="49">
        <v>169388915.67729601</v>
      </c>
      <c r="O53" s="50">
        <v>0.66938775510203996</v>
      </c>
      <c r="P53" s="3" t="str">
        <f t="shared" si="0"/>
        <v>11/04 min [28034] (dis： -277，-0.98% ) (vol_wei_pr：66.94%)</v>
      </c>
    </row>
    <row r="54" spans="1:16" hidden="1" x14ac:dyDescent="0.25">
      <c r="A54" t="s">
        <v>31</v>
      </c>
      <c r="B54" s="10" t="s">
        <v>32</v>
      </c>
      <c r="C54" s="62">
        <v>28031.54</v>
      </c>
      <c r="D54" s="35">
        <v>-278.93</v>
      </c>
      <c r="E54" s="9">
        <v>-9.8525386544271506E-3</v>
      </c>
      <c r="F54" s="36">
        <v>10</v>
      </c>
      <c r="G54" s="37" t="s">
        <v>54</v>
      </c>
      <c r="H54" s="38">
        <v>45972</v>
      </c>
      <c r="I54" s="39" t="s">
        <v>17</v>
      </c>
      <c r="J54" s="40">
        <v>8924063428</v>
      </c>
      <c r="K54" s="41">
        <v>342049943.77227002</v>
      </c>
      <c r="L54" s="9">
        <v>0.67755102040816295</v>
      </c>
      <c r="M54" s="40">
        <v>3155132882.83883</v>
      </c>
      <c r="N54" s="41">
        <v>164592769.53610399</v>
      </c>
      <c r="O54" s="42">
        <v>0.64489795918367299</v>
      </c>
      <c r="P54" s="3" t="str">
        <f t="shared" si="0"/>
        <v>11/11 open [28032] (dis： -279，-0.99% ) (vol_wei_pr：64.49%)</v>
      </c>
    </row>
    <row r="55" spans="1:16" hidden="1" x14ac:dyDescent="0.25">
      <c r="A55" t="s">
        <v>31</v>
      </c>
      <c r="B55" s="10" t="s">
        <v>32</v>
      </c>
      <c r="C55" s="62">
        <v>28029.88</v>
      </c>
      <c r="D55" s="35">
        <v>-280.58999999999997</v>
      </c>
      <c r="E55" s="9">
        <v>-9.9111742051615492E-3</v>
      </c>
      <c r="F55" s="36">
        <v>10</v>
      </c>
      <c r="G55" s="37" t="s">
        <v>54</v>
      </c>
      <c r="H55" s="38">
        <v>45957</v>
      </c>
      <c r="I55" s="39" t="s">
        <v>17</v>
      </c>
      <c r="J55" s="40">
        <v>9337097751</v>
      </c>
      <c r="K55" s="41">
        <v>342049943.77227002</v>
      </c>
      <c r="L55" s="9">
        <v>0.67755102040816295</v>
      </c>
      <c r="M55" s="40">
        <v>2254760481.1033401</v>
      </c>
      <c r="N55" s="41">
        <v>164592769.53610399</v>
      </c>
      <c r="O55" s="42">
        <v>0.64489795918367299</v>
      </c>
      <c r="P55" s="3" t="str">
        <f t="shared" si="0"/>
        <v>10/27 open [28030] (dis： -281，-0.99% ) (vol_wei_pr：64.49%)</v>
      </c>
    </row>
    <row r="56" spans="1:16" ht="17.25" hidden="1" thickBot="1" x14ac:dyDescent="0.3">
      <c r="A56" t="s">
        <v>31</v>
      </c>
      <c r="B56" s="10" t="s">
        <v>32</v>
      </c>
      <c r="C56" s="64">
        <v>28026.39</v>
      </c>
      <c r="D56" s="43">
        <v>-284.08000000000101</v>
      </c>
      <c r="E56" s="8">
        <v>-1.0034450152187501E-2</v>
      </c>
      <c r="F56" s="44">
        <v>10</v>
      </c>
      <c r="G56" s="45" t="s">
        <v>54</v>
      </c>
      <c r="H56" s="46">
        <v>45999</v>
      </c>
      <c r="I56" s="47" t="s">
        <v>19</v>
      </c>
      <c r="J56" s="48">
        <v>7603908443</v>
      </c>
      <c r="K56" s="49">
        <v>342049943.77227002</v>
      </c>
      <c r="L56" s="8">
        <v>0.67755102040816295</v>
      </c>
      <c r="M56" s="48">
        <v>5193622520.9063101</v>
      </c>
      <c r="N56" s="49">
        <v>164592769.53610399</v>
      </c>
      <c r="O56" s="50">
        <v>0.64489795918367299</v>
      </c>
      <c r="P56" s="3" t="str">
        <f t="shared" si="0"/>
        <v>12/08 min [28026] (dis： -284，-1.00% ) (vol_wei_pr：64.49%)</v>
      </c>
    </row>
    <row r="57" spans="1:16" hidden="1" x14ac:dyDescent="0.25">
      <c r="A57" t="s">
        <v>31</v>
      </c>
      <c r="B57" s="10" t="s">
        <v>32</v>
      </c>
      <c r="C57" s="61">
        <v>28024.75</v>
      </c>
      <c r="D57" s="27">
        <v>-285.72000000000099</v>
      </c>
      <c r="E57" s="7">
        <v>-1.00923792505034E-2</v>
      </c>
      <c r="F57" s="28">
        <v>9</v>
      </c>
      <c r="G57" s="29" t="s">
        <v>55</v>
      </c>
      <c r="H57" s="30">
        <v>46002</v>
      </c>
      <c r="I57" s="31" t="s">
        <v>16</v>
      </c>
      <c r="J57" s="32">
        <v>8087246896</v>
      </c>
      <c r="K57" s="33">
        <v>314637605.75359601</v>
      </c>
      <c r="L57" s="7">
        <v>0.6</v>
      </c>
      <c r="M57" s="32">
        <v>6128987048.8634901</v>
      </c>
      <c r="N57" s="33">
        <v>145869590.90347001</v>
      </c>
      <c r="O57" s="34">
        <v>0.49387755102040798</v>
      </c>
      <c r="P57" s="3" t="str">
        <f t="shared" si="0"/>
        <v>12/11 close [28025] (dis： -286，-1.01% ) (vol_wei_pr：49.39%)</v>
      </c>
    </row>
    <row r="58" spans="1:16" hidden="1" x14ac:dyDescent="0.25">
      <c r="A58" t="s">
        <v>31</v>
      </c>
      <c r="B58" s="10" t="s">
        <v>32</v>
      </c>
      <c r="C58" s="62">
        <v>27993.63</v>
      </c>
      <c r="D58" s="35">
        <v>-316.83999999999997</v>
      </c>
      <c r="E58" s="9">
        <v>-1.1191619213669001E-2</v>
      </c>
      <c r="F58" s="36">
        <v>9</v>
      </c>
      <c r="G58" s="37" t="s">
        <v>55</v>
      </c>
      <c r="H58" s="38">
        <v>45957</v>
      </c>
      <c r="I58" s="39" t="s">
        <v>16</v>
      </c>
      <c r="J58" s="40">
        <v>9337097751</v>
      </c>
      <c r="K58" s="41">
        <v>314637605.75359601</v>
      </c>
      <c r="L58" s="9">
        <v>0.6</v>
      </c>
      <c r="M58" s="40">
        <v>2254760481.1033401</v>
      </c>
      <c r="N58" s="41">
        <v>145869590.90347001</v>
      </c>
      <c r="O58" s="42">
        <v>0.49387755102040798</v>
      </c>
      <c r="P58" s="3" t="str">
        <f t="shared" si="0"/>
        <v>10/27 close [27994] (dis： -317，-1.12% ) (vol_wei_pr：49.39%)</v>
      </c>
    </row>
    <row r="59" spans="1:16" ht="17.25" hidden="1" thickBot="1" x14ac:dyDescent="0.3">
      <c r="A59" t="s">
        <v>31</v>
      </c>
      <c r="B59" s="10" t="s">
        <v>32</v>
      </c>
      <c r="C59" s="64">
        <v>27993.63</v>
      </c>
      <c r="D59" s="43">
        <v>-316.83999999999997</v>
      </c>
      <c r="E59" s="8">
        <v>-1.1191619213669001E-2</v>
      </c>
      <c r="F59" s="44">
        <v>9</v>
      </c>
      <c r="G59" s="45" t="s">
        <v>55</v>
      </c>
      <c r="H59" s="46">
        <v>45957</v>
      </c>
      <c r="I59" s="47" t="s">
        <v>19</v>
      </c>
      <c r="J59" s="48">
        <v>9337097751</v>
      </c>
      <c r="K59" s="49">
        <v>314637605.75359601</v>
      </c>
      <c r="L59" s="8">
        <v>0.6</v>
      </c>
      <c r="M59" s="48">
        <v>2254760481.1033401</v>
      </c>
      <c r="N59" s="49">
        <v>145869590.90347001</v>
      </c>
      <c r="O59" s="50">
        <v>0.49387755102040798</v>
      </c>
      <c r="P59" s="3" t="str">
        <f t="shared" si="0"/>
        <v>10/27 min [27994] (dis： -317，-1.12% ) (vol_wei_pr：49.39%)</v>
      </c>
    </row>
    <row r="60" spans="1:16" hidden="1" x14ac:dyDescent="0.25">
      <c r="A60" t="s">
        <v>31</v>
      </c>
      <c r="B60" s="10" t="s">
        <v>32</v>
      </c>
      <c r="C60" s="61">
        <v>27986.66</v>
      </c>
      <c r="D60" s="27">
        <v>-323.81000000000103</v>
      </c>
      <c r="E60" s="7">
        <v>-1.14378178815117E-2</v>
      </c>
      <c r="F60" s="28">
        <v>8</v>
      </c>
      <c r="G60" s="29" t="s">
        <v>56</v>
      </c>
      <c r="H60" s="30">
        <v>46013</v>
      </c>
      <c r="I60" s="31" t="s">
        <v>17</v>
      </c>
      <c r="J60" s="32">
        <v>8984157012</v>
      </c>
      <c r="K60" s="33">
        <v>268573976.00026602</v>
      </c>
      <c r="L60" s="7">
        <v>0.41836734693877498</v>
      </c>
      <c r="M60" s="32">
        <v>8678123642.6556892</v>
      </c>
      <c r="N60" s="33">
        <v>134745957.54824901</v>
      </c>
      <c r="O60" s="34">
        <v>0.45918367346938699</v>
      </c>
      <c r="P60" s="3" t="str">
        <f t="shared" si="0"/>
        <v>12/22 open [27987] (dis： -324，-1.14% ) (vol_wei_pr：45.92%)</v>
      </c>
    </row>
    <row r="61" spans="1:16" ht="17.25" hidden="1" thickBot="1" x14ac:dyDescent="0.3">
      <c r="A61" t="s">
        <v>31</v>
      </c>
      <c r="B61" s="10" t="s">
        <v>32</v>
      </c>
      <c r="C61" s="64">
        <v>27986.66</v>
      </c>
      <c r="D61" s="43">
        <v>-323.81000000000103</v>
      </c>
      <c r="E61" s="8">
        <v>-1.14378178815117E-2</v>
      </c>
      <c r="F61" s="44">
        <v>8</v>
      </c>
      <c r="G61" s="45" t="s">
        <v>56</v>
      </c>
      <c r="H61" s="46">
        <v>46013</v>
      </c>
      <c r="I61" s="47" t="s">
        <v>19</v>
      </c>
      <c r="J61" s="48">
        <v>8984157012</v>
      </c>
      <c r="K61" s="49">
        <v>268573976.00026602</v>
      </c>
      <c r="L61" s="8">
        <v>0.41836734693877498</v>
      </c>
      <c r="M61" s="48">
        <v>8678123642.6556892</v>
      </c>
      <c r="N61" s="49">
        <v>134745957.54824901</v>
      </c>
      <c r="O61" s="50">
        <v>0.45918367346938699</v>
      </c>
      <c r="P61" s="3" t="str">
        <f t="shared" si="0"/>
        <v>12/22 min [27987] (dis： -324，-1.14% ) (vol_wei_pr：45.92%)</v>
      </c>
    </row>
    <row r="62" spans="1:16" hidden="1" x14ac:dyDescent="0.25">
      <c r="A62" t="s">
        <v>31</v>
      </c>
      <c r="B62" s="10" t="s">
        <v>32</v>
      </c>
      <c r="C62" s="60">
        <v>27984.19</v>
      </c>
      <c r="D62" s="22">
        <v>-326.28000000000202</v>
      </c>
      <c r="E62" s="4">
        <v>-1.1525064755194801E-2</v>
      </c>
      <c r="F62" s="10">
        <v>7</v>
      </c>
      <c r="G62" s="3" t="s">
        <v>57</v>
      </c>
      <c r="H62" s="18">
        <v>46002</v>
      </c>
      <c r="I62" s="21" t="s">
        <v>19</v>
      </c>
      <c r="J62" s="12">
        <v>8087246896</v>
      </c>
      <c r="K62" s="13">
        <v>219234874.39117199</v>
      </c>
      <c r="L62" s="4">
        <v>0.36734693877551</v>
      </c>
      <c r="M62" s="12">
        <v>6128987048.8634901</v>
      </c>
      <c r="N62" s="13">
        <v>87087526.8675109</v>
      </c>
      <c r="O62" s="4">
        <v>0.35102040816326502</v>
      </c>
      <c r="P62" s="3" t="str">
        <f t="shared" si="0"/>
        <v>12/11 min [27984] (dis： -326，-1.15% ) (vol_wei_pr：35.10%)</v>
      </c>
    </row>
    <row r="63" spans="1:16" hidden="1" x14ac:dyDescent="0.25">
      <c r="A63" t="s">
        <v>31</v>
      </c>
      <c r="B63" s="10" t="s">
        <v>32</v>
      </c>
      <c r="C63" s="61">
        <v>27980.89</v>
      </c>
      <c r="D63" s="27">
        <v>-329.58000000000101</v>
      </c>
      <c r="E63" s="7">
        <v>-1.16416294042452E-2</v>
      </c>
      <c r="F63" s="28">
        <v>7</v>
      </c>
      <c r="G63" s="29" t="s">
        <v>58</v>
      </c>
      <c r="H63" s="30">
        <v>45996</v>
      </c>
      <c r="I63" s="31" t="s">
        <v>16</v>
      </c>
      <c r="J63" s="32">
        <v>6781520261</v>
      </c>
      <c r="K63" s="33">
        <v>233360539.53721699</v>
      </c>
      <c r="L63" s="7">
        <v>0.37346938775510202</v>
      </c>
      <c r="M63" s="32">
        <v>4474134815.7280798</v>
      </c>
      <c r="N63" s="33">
        <v>95048043.501585603</v>
      </c>
      <c r="O63" s="34">
        <v>0.36122448979591798</v>
      </c>
      <c r="P63" s="3" t="str">
        <f t="shared" si="0"/>
        <v>12/05 close [27981] (dis： -330，-1.16% ) (vol_wei_pr：36.12%)</v>
      </c>
    </row>
    <row r="64" spans="1:16" ht="17.25" hidden="1" thickBot="1" x14ac:dyDescent="0.3">
      <c r="A64" t="s">
        <v>31</v>
      </c>
      <c r="B64" s="10" t="s">
        <v>32</v>
      </c>
      <c r="C64" s="64">
        <v>27980.89</v>
      </c>
      <c r="D64" s="43">
        <v>-329.58000000000101</v>
      </c>
      <c r="E64" s="8">
        <v>-1.16416294042452E-2</v>
      </c>
      <c r="F64" s="44">
        <v>7</v>
      </c>
      <c r="G64" s="45" t="s">
        <v>58</v>
      </c>
      <c r="H64" s="46">
        <v>45996</v>
      </c>
      <c r="I64" s="47" t="s">
        <v>15</v>
      </c>
      <c r="J64" s="48">
        <v>6781520261</v>
      </c>
      <c r="K64" s="49">
        <v>233360539.53721699</v>
      </c>
      <c r="L64" s="8">
        <v>0.37346938775510202</v>
      </c>
      <c r="M64" s="48">
        <v>4474134815.7280798</v>
      </c>
      <c r="N64" s="49">
        <v>95048043.501585603</v>
      </c>
      <c r="O64" s="50">
        <v>0.36122448979591798</v>
      </c>
      <c r="P64" s="3" t="str">
        <f t="shared" si="0"/>
        <v>12/05 max [27981] (dis： -330，-1.16% ) (vol_wei_pr：36.12%)</v>
      </c>
    </row>
    <row r="65" spans="1:16" hidden="1" x14ac:dyDescent="0.25">
      <c r="A65" t="s">
        <v>31</v>
      </c>
      <c r="B65" s="10" t="s">
        <v>32</v>
      </c>
      <c r="C65" s="60">
        <v>27976.89</v>
      </c>
      <c r="D65" s="22">
        <v>-333.58000000000101</v>
      </c>
      <c r="E65" s="4">
        <v>-1.17829198879425E-2</v>
      </c>
      <c r="F65" s="10">
        <v>8</v>
      </c>
      <c r="G65" s="3" t="s">
        <v>59</v>
      </c>
      <c r="H65" s="18">
        <v>45971</v>
      </c>
      <c r="I65" s="21" t="s">
        <v>15</v>
      </c>
      <c r="J65" s="12">
        <v>7491028505</v>
      </c>
      <c r="K65" s="13">
        <v>258635620.53121099</v>
      </c>
      <c r="L65" s="4">
        <v>0.40816326530612201</v>
      </c>
      <c r="M65" s="12">
        <v>2558261625.5811701</v>
      </c>
      <c r="N65" s="13">
        <v>103679738.034216</v>
      </c>
      <c r="O65" s="4">
        <v>0.38367346938775498</v>
      </c>
      <c r="P65" s="3" t="str">
        <f t="shared" si="0"/>
        <v>11/10 max [27977] (dis： -334，-1.18% ) (vol_wei_pr：38.37%)</v>
      </c>
    </row>
    <row r="66" spans="1:16" hidden="1" x14ac:dyDescent="0.25">
      <c r="A66" t="s">
        <v>31</v>
      </c>
      <c r="B66" s="10" t="s">
        <v>32</v>
      </c>
      <c r="C66" s="61">
        <v>27969.05</v>
      </c>
      <c r="D66" s="27">
        <v>-341.42000000000098</v>
      </c>
      <c r="E66" s="7">
        <v>-1.2059849235989401E-2</v>
      </c>
      <c r="F66" s="28">
        <v>9</v>
      </c>
      <c r="G66" s="29" t="s">
        <v>60</v>
      </c>
      <c r="H66" s="30">
        <v>45951</v>
      </c>
      <c r="I66" s="31" t="s">
        <v>15</v>
      </c>
      <c r="J66" s="32">
        <v>8507303277</v>
      </c>
      <c r="K66" s="33">
        <v>296195458.39876002</v>
      </c>
      <c r="L66" s="7">
        <v>0.50816326530612199</v>
      </c>
      <c r="M66" s="32">
        <v>1851509414.9808199</v>
      </c>
      <c r="N66" s="33">
        <v>111854172.537443</v>
      </c>
      <c r="O66" s="34">
        <v>0.40204081632652999</v>
      </c>
      <c r="P66" s="3" t="str">
        <f t="shared" si="0"/>
        <v>10/21 max [27969] (dis： -341，-1.21% ) (vol_wei_pr：40.20%)</v>
      </c>
    </row>
    <row r="67" spans="1:16" hidden="1" x14ac:dyDescent="0.25">
      <c r="A67" t="s">
        <v>31</v>
      </c>
      <c r="B67" s="10" t="s">
        <v>32</v>
      </c>
      <c r="C67" s="62">
        <v>27949.11</v>
      </c>
      <c r="D67" s="35">
        <v>-361.36</v>
      </c>
      <c r="E67" s="9">
        <v>-1.2764182297220801E-2</v>
      </c>
      <c r="F67" s="36">
        <v>9</v>
      </c>
      <c r="G67" s="37" t="s">
        <v>60</v>
      </c>
      <c r="H67" s="38">
        <v>45958</v>
      </c>
      <c r="I67" s="39" t="s">
        <v>16</v>
      </c>
      <c r="J67" s="40">
        <v>8579810711</v>
      </c>
      <c r="K67" s="41">
        <v>296195458.39876002</v>
      </c>
      <c r="L67" s="9">
        <v>0.50816326530612199</v>
      </c>
      <c r="M67" s="40">
        <v>2144952677.75</v>
      </c>
      <c r="N67" s="41">
        <v>111854172.537443</v>
      </c>
      <c r="O67" s="42">
        <v>0.40204081632652999</v>
      </c>
      <c r="P67" s="3" t="str">
        <f t="shared" ref="P67:P130" si="1">TEXT(H67,"MM/DD")&amp;" "&amp;I67&amp;" ["&amp;TEXT(C67,"0")&amp;"] (dis： "&amp;TEXT(D67,"0")&amp;"，"&amp;TEXT(E67,"0.00%")&amp;" ) (vol_wei_pr："&amp;TEXT(O67,"0.00%")&amp;")"</f>
        <v>10/28 close [27949] (dis： -361，-1.28% ) (vol_wei_pr：40.20%)</v>
      </c>
    </row>
    <row r="68" spans="1:16" hidden="1" x14ac:dyDescent="0.25">
      <c r="A68" t="s">
        <v>31</v>
      </c>
      <c r="B68" s="10" t="s">
        <v>32</v>
      </c>
      <c r="C68" s="62">
        <v>27947.09</v>
      </c>
      <c r="D68" s="35">
        <v>-363.38000000000102</v>
      </c>
      <c r="E68" s="9">
        <v>-1.28355339914879E-2</v>
      </c>
      <c r="F68" s="36">
        <v>9</v>
      </c>
      <c r="G68" s="37" t="s">
        <v>60</v>
      </c>
      <c r="H68" s="38">
        <v>45973</v>
      </c>
      <c r="I68" s="39" t="s">
        <v>16</v>
      </c>
      <c r="J68" s="40">
        <v>8954069218</v>
      </c>
      <c r="K68" s="41">
        <v>296195458.39876002</v>
      </c>
      <c r="L68" s="9">
        <v>0.50816326530612199</v>
      </c>
      <c r="M68" s="40">
        <v>3277381165.6451998</v>
      </c>
      <c r="N68" s="41">
        <v>111854172.537443</v>
      </c>
      <c r="O68" s="42">
        <v>0.40204081632652999</v>
      </c>
      <c r="P68" s="3" t="str">
        <f t="shared" si="1"/>
        <v>11/12 close [27947] (dis： -363，-1.28% ) (vol_wei_pr：40.20%)</v>
      </c>
    </row>
    <row r="69" spans="1:16" hidden="1" x14ac:dyDescent="0.25">
      <c r="A69" t="s">
        <v>31</v>
      </c>
      <c r="B69" s="10" t="s">
        <v>32</v>
      </c>
      <c r="C69" s="62">
        <v>27917.725999999999</v>
      </c>
      <c r="D69" s="35">
        <v>-392.74399999999798</v>
      </c>
      <c r="E69" s="9">
        <v>-1.38727474323103E-2</v>
      </c>
      <c r="F69" s="36">
        <v>9</v>
      </c>
      <c r="G69" s="37" t="s">
        <v>60</v>
      </c>
      <c r="H69" s="38">
        <v>46014</v>
      </c>
      <c r="I69" s="39" t="s">
        <v>20</v>
      </c>
      <c r="J69" s="40">
        <v>7965662925</v>
      </c>
      <c r="K69" s="41">
        <v>296195458.39876002</v>
      </c>
      <c r="L69" s="9">
        <v>0.50816326530612199</v>
      </c>
      <c r="M69" s="40">
        <v>7965662925</v>
      </c>
      <c r="N69" s="41">
        <v>111854172.537443</v>
      </c>
      <c r="O69" s="42">
        <v>0.40204081632652999</v>
      </c>
      <c r="P69" s="3" t="str">
        <f t="shared" si="1"/>
        <v>12/23 10MA [27918] (dis： -393，-1.39% ) (vol_wei_pr：40.20%)</v>
      </c>
    </row>
    <row r="70" spans="1:16" hidden="1" x14ac:dyDescent="0.25">
      <c r="A70" t="s">
        <v>31</v>
      </c>
      <c r="B70" s="10" t="s">
        <v>32</v>
      </c>
      <c r="C70" s="62">
        <v>27906.44</v>
      </c>
      <c r="D70" s="35">
        <v>-404.03000000000202</v>
      </c>
      <c r="E70" s="9">
        <v>-1.42713985320626E-2</v>
      </c>
      <c r="F70" s="36">
        <v>9</v>
      </c>
      <c r="G70" s="37" t="s">
        <v>60</v>
      </c>
      <c r="H70" s="38">
        <v>45967</v>
      </c>
      <c r="I70" s="39" t="s">
        <v>17</v>
      </c>
      <c r="J70" s="40">
        <v>7863001986</v>
      </c>
      <c r="K70" s="41">
        <v>296195458.39876002</v>
      </c>
      <c r="L70" s="9">
        <v>0.50816326530612199</v>
      </c>
      <c r="M70" s="40">
        <v>2505468185.9721899</v>
      </c>
      <c r="N70" s="41">
        <v>111854172.537443</v>
      </c>
      <c r="O70" s="42">
        <v>0.40204081632652999</v>
      </c>
      <c r="P70" s="3" t="str">
        <f t="shared" si="1"/>
        <v>11/06 open [27906] (dis： -404，-1.43% ) (vol_wei_pr：40.20%)</v>
      </c>
    </row>
    <row r="71" spans="1:16" hidden="1" x14ac:dyDescent="0.25">
      <c r="A71" t="s">
        <v>31</v>
      </c>
      <c r="B71" s="10" t="s">
        <v>32</v>
      </c>
      <c r="C71" s="62">
        <v>27903.56</v>
      </c>
      <c r="D71" s="35">
        <v>-406.909999999999</v>
      </c>
      <c r="E71" s="9">
        <v>-1.43731276803246E-2</v>
      </c>
      <c r="F71" s="36">
        <v>9</v>
      </c>
      <c r="G71" s="37" t="s">
        <v>60</v>
      </c>
      <c r="H71" s="38">
        <v>45974</v>
      </c>
      <c r="I71" s="39" t="s">
        <v>16</v>
      </c>
      <c r="J71" s="40">
        <v>10545273898</v>
      </c>
      <c r="K71" s="41">
        <v>296195458.39876002</v>
      </c>
      <c r="L71" s="9">
        <v>0.50816326530612199</v>
      </c>
      <c r="M71" s="40">
        <v>3995911586.3970699</v>
      </c>
      <c r="N71" s="41">
        <v>111854172.537443</v>
      </c>
      <c r="O71" s="42">
        <v>0.40204081632652999</v>
      </c>
      <c r="P71" s="3" t="str">
        <f t="shared" si="1"/>
        <v>11/13 close [27904] (dis： -407，-1.44% ) (vol_wei_pr：40.20%)</v>
      </c>
    </row>
    <row r="72" spans="1:16" hidden="1" x14ac:dyDescent="0.25">
      <c r="A72" t="s">
        <v>31</v>
      </c>
      <c r="B72" s="10" t="s">
        <v>32</v>
      </c>
      <c r="C72" s="62">
        <v>27899.45</v>
      </c>
      <c r="D72" s="35">
        <v>-411.02</v>
      </c>
      <c r="E72" s="9">
        <v>-1.4518303652323599E-2</v>
      </c>
      <c r="F72" s="36">
        <v>9</v>
      </c>
      <c r="G72" s="37" t="s">
        <v>60</v>
      </c>
      <c r="H72" s="38">
        <v>45967</v>
      </c>
      <c r="I72" s="39" t="s">
        <v>16</v>
      </c>
      <c r="J72" s="40">
        <v>7863001986</v>
      </c>
      <c r="K72" s="41">
        <v>296195458.39876002</v>
      </c>
      <c r="L72" s="9">
        <v>0.50816326530612199</v>
      </c>
      <c r="M72" s="40">
        <v>2505468185.9721899</v>
      </c>
      <c r="N72" s="41">
        <v>111854172.537443</v>
      </c>
      <c r="O72" s="42">
        <v>0.40204081632652999</v>
      </c>
      <c r="P72" s="3" t="str">
        <f t="shared" si="1"/>
        <v>11/06 close [27899] (dis： -411，-1.45% ) (vol_wei_pr：40.20%)</v>
      </c>
    </row>
    <row r="73" spans="1:16" ht="17.25" hidden="1" thickBot="1" x14ac:dyDescent="0.3">
      <c r="A73" t="s">
        <v>31</v>
      </c>
      <c r="B73" s="10" t="s">
        <v>32</v>
      </c>
      <c r="C73" s="64">
        <v>27885.62</v>
      </c>
      <c r="D73" s="43">
        <v>-424.85000000000201</v>
      </c>
      <c r="E73" s="8">
        <v>-1.50068154997074E-2</v>
      </c>
      <c r="F73" s="44">
        <v>9</v>
      </c>
      <c r="G73" s="45" t="s">
        <v>60</v>
      </c>
      <c r="H73" s="46">
        <v>45958</v>
      </c>
      <c r="I73" s="47" t="s">
        <v>19</v>
      </c>
      <c r="J73" s="48">
        <v>8579810711</v>
      </c>
      <c r="K73" s="49">
        <v>296195458.39876002</v>
      </c>
      <c r="L73" s="8">
        <v>0.50816326530612199</v>
      </c>
      <c r="M73" s="48">
        <v>2144952677.75</v>
      </c>
      <c r="N73" s="49">
        <v>111854172.537443</v>
      </c>
      <c r="O73" s="50">
        <v>0.40204081632652999</v>
      </c>
      <c r="P73" s="3" t="str">
        <f t="shared" si="1"/>
        <v>10/28 min [27886] (dis： -425，-1.50% ) (vol_wei_pr：40.20%)</v>
      </c>
    </row>
    <row r="74" spans="1:16" hidden="1" x14ac:dyDescent="0.25">
      <c r="A74" t="s">
        <v>31</v>
      </c>
      <c r="B74" s="10" t="s">
        <v>32</v>
      </c>
      <c r="C74" s="61">
        <v>27880.23</v>
      </c>
      <c r="D74" s="27">
        <v>-430.24000000000098</v>
      </c>
      <c r="E74" s="7">
        <v>-1.5197204426489599E-2</v>
      </c>
      <c r="F74" s="28">
        <v>9</v>
      </c>
      <c r="G74" s="29" t="s">
        <v>61</v>
      </c>
      <c r="H74" s="30">
        <v>45995</v>
      </c>
      <c r="I74" s="31" t="s">
        <v>15</v>
      </c>
      <c r="J74" s="32">
        <v>6475222009</v>
      </c>
      <c r="K74" s="33">
        <v>280367602.55252802</v>
      </c>
      <c r="L74" s="7">
        <v>0.45510204081632599</v>
      </c>
      <c r="M74" s="32">
        <v>4126531512.9112601</v>
      </c>
      <c r="N74" s="33">
        <v>118191650.32736801</v>
      </c>
      <c r="O74" s="34">
        <v>0.42653061224489702</v>
      </c>
      <c r="P74" s="3" t="str">
        <f t="shared" si="1"/>
        <v>12/04 max [27880] (dis： -430，-1.52% ) (vol_wei_pr：42.65%)</v>
      </c>
    </row>
    <row r="75" spans="1:16" ht="17.25" hidden="1" thickBot="1" x14ac:dyDescent="0.3">
      <c r="A75" t="s">
        <v>31</v>
      </c>
      <c r="B75" s="10" t="s">
        <v>32</v>
      </c>
      <c r="C75" s="64">
        <v>27879.7</v>
      </c>
      <c r="D75" s="43">
        <v>-430.77</v>
      </c>
      <c r="E75" s="8">
        <v>-1.5215925415579401E-2</v>
      </c>
      <c r="F75" s="44">
        <v>9</v>
      </c>
      <c r="G75" s="45" t="s">
        <v>61</v>
      </c>
      <c r="H75" s="46">
        <v>45967</v>
      </c>
      <c r="I75" s="47" t="s">
        <v>19</v>
      </c>
      <c r="J75" s="48">
        <v>7863001986</v>
      </c>
      <c r="K75" s="49">
        <v>280367602.55252802</v>
      </c>
      <c r="L75" s="8">
        <v>0.45510204081632599</v>
      </c>
      <c r="M75" s="48">
        <v>2505468185.9721899</v>
      </c>
      <c r="N75" s="49">
        <v>118191650.32736801</v>
      </c>
      <c r="O75" s="50">
        <v>0.42653061224489702</v>
      </c>
      <c r="P75" s="3" t="str">
        <f t="shared" si="1"/>
        <v>11/06 min [27880] (dis： -431，-1.52% ) (vol_wei_pr：42.65%)</v>
      </c>
    </row>
    <row r="76" spans="1:16" hidden="1" x14ac:dyDescent="0.25">
      <c r="A76" t="s">
        <v>31</v>
      </c>
      <c r="B76" s="10" t="s">
        <v>32</v>
      </c>
      <c r="C76" s="61">
        <v>27869.78</v>
      </c>
      <c r="D76" s="27">
        <v>-440.69000000000199</v>
      </c>
      <c r="E76" s="7">
        <v>-1.5566325815148999E-2</v>
      </c>
      <c r="F76" s="28">
        <v>9</v>
      </c>
      <c r="G76" s="29" t="s">
        <v>62</v>
      </c>
      <c r="H76" s="30">
        <v>46010</v>
      </c>
      <c r="I76" s="31" t="s">
        <v>15</v>
      </c>
      <c r="J76" s="32">
        <v>9145168124</v>
      </c>
      <c r="K76" s="33">
        <v>283374689.52308601</v>
      </c>
      <c r="L76" s="7">
        <v>0.46938775510204001</v>
      </c>
      <c r="M76" s="32">
        <v>8532743572.8427696</v>
      </c>
      <c r="N76" s="33">
        <v>147565981.156221</v>
      </c>
      <c r="O76" s="34">
        <v>0.51020408163265296</v>
      </c>
      <c r="P76" s="3" t="str">
        <f t="shared" si="1"/>
        <v>12/19 max [27870] (dis： -441，-1.56% ) (vol_wei_pr：51.02%)</v>
      </c>
    </row>
    <row r="77" spans="1:16" hidden="1" x14ac:dyDescent="0.25">
      <c r="A77" t="s">
        <v>31</v>
      </c>
      <c r="B77" s="10" t="s">
        <v>32</v>
      </c>
      <c r="C77" s="62">
        <v>27869.51</v>
      </c>
      <c r="D77" s="35">
        <v>-440.96000000000203</v>
      </c>
      <c r="E77" s="9">
        <v>-1.5575862922798601E-2</v>
      </c>
      <c r="F77" s="36">
        <v>9</v>
      </c>
      <c r="G77" s="37" t="s">
        <v>62</v>
      </c>
      <c r="H77" s="38">
        <v>45971</v>
      </c>
      <c r="I77" s="39" t="s">
        <v>16</v>
      </c>
      <c r="J77" s="40">
        <v>7491028505</v>
      </c>
      <c r="K77" s="41">
        <v>283374689.52308601</v>
      </c>
      <c r="L77" s="9">
        <v>0.46938775510204001</v>
      </c>
      <c r="M77" s="40">
        <v>2558261625.5811701</v>
      </c>
      <c r="N77" s="41">
        <v>147565981.156221</v>
      </c>
      <c r="O77" s="42">
        <v>0.51020408163265296</v>
      </c>
      <c r="P77" s="3" t="str">
        <f t="shared" si="1"/>
        <v>11/10 close [27870] (dis： -441，-1.56% ) (vol_wei_pr：51.02%)</v>
      </c>
    </row>
    <row r="78" spans="1:16" hidden="1" x14ac:dyDescent="0.25">
      <c r="A78" t="s">
        <v>31</v>
      </c>
      <c r="B78" s="10" t="s">
        <v>32</v>
      </c>
      <c r="C78" s="62">
        <v>27867.59</v>
      </c>
      <c r="D78" s="35">
        <v>-442.88000000000102</v>
      </c>
      <c r="E78" s="9">
        <v>-1.56436823549733E-2</v>
      </c>
      <c r="F78" s="36">
        <v>9</v>
      </c>
      <c r="G78" s="37" t="s">
        <v>62</v>
      </c>
      <c r="H78" s="38">
        <v>45974</v>
      </c>
      <c r="I78" s="39" t="s">
        <v>17</v>
      </c>
      <c r="J78" s="40">
        <v>10545273898</v>
      </c>
      <c r="K78" s="41">
        <v>283374689.52308601</v>
      </c>
      <c r="L78" s="9">
        <v>0.46938775510204001</v>
      </c>
      <c r="M78" s="40">
        <v>3995911586.3970699</v>
      </c>
      <c r="N78" s="41">
        <v>147565981.156221</v>
      </c>
      <c r="O78" s="42">
        <v>0.51020408163265296</v>
      </c>
      <c r="P78" s="3" t="str">
        <f t="shared" si="1"/>
        <v>11/13 open [27868] (dis： -443，-1.56% ) (vol_wei_pr：51.02%)</v>
      </c>
    </row>
    <row r="79" spans="1:16" hidden="1" x14ac:dyDescent="0.25">
      <c r="A79" t="s">
        <v>31</v>
      </c>
      <c r="B79" s="10" t="s">
        <v>32</v>
      </c>
      <c r="C79" s="62">
        <v>27866.94</v>
      </c>
      <c r="D79" s="35">
        <v>-443.53000000000202</v>
      </c>
      <c r="E79" s="9">
        <v>-1.5666642058574098E-2</v>
      </c>
      <c r="F79" s="36">
        <v>9</v>
      </c>
      <c r="G79" s="37" t="s">
        <v>62</v>
      </c>
      <c r="H79" s="38">
        <v>46006</v>
      </c>
      <c r="I79" s="39" t="s">
        <v>16</v>
      </c>
      <c r="J79" s="40">
        <v>7855274707</v>
      </c>
      <c r="K79" s="41">
        <v>283374689.52308601</v>
      </c>
      <c r="L79" s="9">
        <v>0.46938775510204001</v>
      </c>
      <c r="M79" s="40">
        <v>6380465704.7972698</v>
      </c>
      <c r="N79" s="41">
        <v>147565981.156221</v>
      </c>
      <c r="O79" s="42">
        <v>0.51020408163265296</v>
      </c>
      <c r="P79" s="3" t="str">
        <f t="shared" si="1"/>
        <v>12/15 close [27867] (dis： -444，-1.57% ) (vol_wei_pr：51.02%)</v>
      </c>
    </row>
    <row r="80" spans="1:16" ht="17.25" hidden="1" thickBot="1" x14ac:dyDescent="0.3">
      <c r="A80" t="s">
        <v>31</v>
      </c>
      <c r="B80" s="10" t="s">
        <v>32</v>
      </c>
      <c r="C80" s="64">
        <v>27853.47</v>
      </c>
      <c r="D80" s="43">
        <v>-457</v>
      </c>
      <c r="E80" s="8">
        <v>-1.61424377624249E-2</v>
      </c>
      <c r="F80" s="44">
        <v>9</v>
      </c>
      <c r="G80" s="45" t="s">
        <v>62</v>
      </c>
      <c r="H80" s="46">
        <v>45973</v>
      </c>
      <c r="I80" s="47" t="s">
        <v>17</v>
      </c>
      <c r="J80" s="48">
        <v>8954069218</v>
      </c>
      <c r="K80" s="49">
        <v>283374689.52308601</v>
      </c>
      <c r="L80" s="8">
        <v>0.46938775510204001</v>
      </c>
      <c r="M80" s="48">
        <v>3277381165.6451998</v>
      </c>
      <c r="N80" s="49">
        <v>147565981.156221</v>
      </c>
      <c r="O80" s="50">
        <v>0.51020408163265296</v>
      </c>
      <c r="P80" s="3" t="str">
        <f t="shared" si="1"/>
        <v>11/12 open [27853] (dis： -457，-1.61% ) (vol_wei_pr：51.02%)</v>
      </c>
    </row>
    <row r="81" spans="1:16" hidden="1" x14ac:dyDescent="0.25">
      <c r="A81" t="s">
        <v>31</v>
      </c>
      <c r="B81" s="10" t="s">
        <v>32</v>
      </c>
      <c r="C81" s="61">
        <v>27847.67</v>
      </c>
      <c r="D81" s="27">
        <v>-462.800000000002</v>
      </c>
      <c r="E81" s="7">
        <v>-1.6347308963786202E-2</v>
      </c>
      <c r="F81" s="28">
        <v>10</v>
      </c>
      <c r="G81" s="29" t="s">
        <v>63</v>
      </c>
      <c r="H81" s="30">
        <v>45994</v>
      </c>
      <c r="I81" s="31" t="s">
        <v>15</v>
      </c>
      <c r="J81" s="32">
        <v>6838633055</v>
      </c>
      <c r="K81" s="33">
        <v>311628833.69347101</v>
      </c>
      <c r="L81" s="7">
        <v>0.58775510204081605</v>
      </c>
      <c r="M81" s="32">
        <v>4209672440.2895598</v>
      </c>
      <c r="N81" s="33">
        <v>164958447.03082699</v>
      </c>
      <c r="O81" s="34">
        <v>0.65714285714285703</v>
      </c>
      <c r="P81" s="3" t="str">
        <f t="shared" si="1"/>
        <v>12/03 max [27848] (dis： -463，-1.63% ) (vol_wei_pr：65.71%)</v>
      </c>
    </row>
    <row r="82" spans="1:16" hidden="1" x14ac:dyDescent="0.25">
      <c r="A82" t="s">
        <v>31</v>
      </c>
      <c r="B82" s="10" t="s">
        <v>32</v>
      </c>
      <c r="C82" s="62">
        <v>27836.531500000001</v>
      </c>
      <c r="D82" s="35">
        <v>-473.93849999999998</v>
      </c>
      <c r="E82" s="9">
        <v>-1.6740749976951901E-2</v>
      </c>
      <c r="F82" s="36">
        <v>10</v>
      </c>
      <c r="G82" s="37" t="s">
        <v>63</v>
      </c>
      <c r="H82" s="38">
        <v>46014</v>
      </c>
      <c r="I82" s="39" t="s">
        <v>22</v>
      </c>
      <c r="J82" s="40">
        <v>7965662925</v>
      </c>
      <c r="K82" s="41">
        <v>311628833.69347101</v>
      </c>
      <c r="L82" s="9">
        <v>0.58775510204081605</v>
      </c>
      <c r="M82" s="40">
        <v>7965662925</v>
      </c>
      <c r="N82" s="41">
        <v>164958447.03082699</v>
      </c>
      <c r="O82" s="42">
        <v>0.65714285714285703</v>
      </c>
      <c r="P82" s="3" t="str">
        <f t="shared" si="1"/>
        <v>12/23 20MA [27837] (dis： -474，-1.67% ) (vol_wei_pr：65.71%)</v>
      </c>
    </row>
    <row r="83" spans="1:16" ht="17.25" hidden="1" thickBot="1" x14ac:dyDescent="0.3">
      <c r="A83" t="s">
        <v>31</v>
      </c>
      <c r="B83" s="10" t="s">
        <v>32</v>
      </c>
      <c r="C83" s="64">
        <v>27830.031999999901</v>
      </c>
      <c r="D83" s="43">
        <v>-480.43800000000499</v>
      </c>
      <c r="E83" s="8">
        <v>-1.6970329351649899E-2</v>
      </c>
      <c r="F83" s="44">
        <v>10</v>
      </c>
      <c r="G83" s="45" t="s">
        <v>63</v>
      </c>
      <c r="H83" s="46">
        <v>46014</v>
      </c>
      <c r="I83" s="47" t="s">
        <v>21</v>
      </c>
      <c r="J83" s="48">
        <v>7965662925</v>
      </c>
      <c r="K83" s="49">
        <v>311628833.69347101</v>
      </c>
      <c r="L83" s="8">
        <v>0.58775510204081605</v>
      </c>
      <c r="M83" s="48">
        <v>7965662925</v>
      </c>
      <c r="N83" s="49">
        <v>164958447.03082699</v>
      </c>
      <c r="O83" s="50">
        <v>0.65714285714285703</v>
      </c>
      <c r="P83" s="3" t="str">
        <f t="shared" si="1"/>
        <v>12/23 5MA [27830] (dis： -480，-1.70% ) (vol_wei_pr：65.71%)</v>
      </c>
    </row>
    <row r="84" spans="1:16" hidden="1" x14ac:dyDescent="0.25">
      <c r="A84" t="s">
        <v>31</v>
      </c>
      <c r="B84" s="10" t="s">
        <v>32</v>
      </c>
      <c r="C84" s="61">
        <v>27818.54</v>
      </c>
      <c r="D84" s="27">
        <v>-491.93</v>
      </c>
      <c r="E84" s="7">
        <v>-1.73762569113123E-2</v>
      </c>
      <c r="F84" s="28">
        <v>11</v>
      </c>
      <c r="G84" s="29" t="s">
        <v>64</v>
      </c>
      <c r="H84" s="30">
        <v>45968</v>
      </c>
      <c r="I84" s="31" t="s">
        <v>17</v>
      </c>
      <c r="J84" s="32">
        <v>7878592276</v>
      </c>
      <c r="K84" s="33">
        <v>351609511.03032202</v>
      </c>
      <c r="L84" s="7">
        <v>0.73673469387755097</v>
      </c>
      <c r="M84" s="32">
        <v>2598966208.4840498</v>
      </c>
      <c r="N84" s="33">
        <v>178147152.036836</v>
      </c>
      <c r="O84" s="34">
        <v>0.72857142857142798</v>
      </c>
      <c r="P84" s="3" t="str">
        <f t="shared" si="1"/>
        <v>11/07 open [27819] (dis： -492，-1.74% ) (vol_wei_pr：72.86%)</v>
      </c>
    </row>
    <row r="85" spans="1:16" ht="17.25" hidden="1" thickBot="1" x14ac:dyDescent="0.3">
      <c r="A85" t="s">
        <v>31</v>
      </c>
      <c r="B85" s="10" t="s">
        <v>32</v>
      </c>
      <c r="C85" s="64">
        <v>27818.54</v>
      </c>
      <c r="D85" s="43">
        <v>-491.93</v>
      </c>
      <c r="E85" s="8">
        <v>-1.73762569113123E-2</v>
      </c>
      <c r="F85" s="44">
        <v>11</v>
      </c>
      <c r="G85" s="45" t="s">
        <v>64</v>
      </c>
      <c r="H85" s="46">
        <v>45968</v>
      </c>
      <c r="I85" s="47" t="s">
        <v>15</v>
      </c>
      <c r="J85" s="48">
        <v>7878592276</v>
      </c>
      <c r="K85" s="49">
        <v>351609511.03032202</v>
      </c>
      <c r="L85" s="8">
        <v>0.73673469387755097</v>
      </c>
      <c r="M85" s="48">
        <v>2598966208.4840498</v>
      </c>
      <c r="N85" s="49">
        <v>178147152.036836</v>
      </c>
      <c r="O85" s="50">
        <v>0.72857142857142798</v>
      </c>
      <c r="P85" s="3" t="str">
        <f t="shared" si="1"/>
        <v>11/07 max [27819] (dis： -492，-1.74% ) (vol_wei_pr：72.86%)</v>
      </c>
    </row>
    <row r="86" spans="1:16" hidden="1" x14ac:dyDescent="0.25">
      <c r="A86" t="s">
        <v>31</v>
      </c>
      <c r="B86" s="10" t="s">
        <v>32</v>
      </c>
      <c r="C86" s="61">
        <v>27816.45</v>
      </c>
      <c r="D86" s="27">
        <v>-494.02</v>
      </c>
      <c r="E86" s="7">
        <v>-1.74500811890442E-2</v>
      </c>
      <c r="F86" s="28">
        <v>12</v>
      </c>
      <c r="G86" s="29" t="s">
        <v>65</v>
      </c>
      <c r="H86" s="30">
        <v>45975</v>
      </c>
      <c r="I86" s="31" t="s">
        <v>17</v>
      </c>
      <c r="J86" s="32">
        <v>9939352945</v>
      </c>
      <c r="K86" s="33">
        <v>374558306.82122999</v>
      </c>
      <c r="L86" s="7">
        <v>0.82448979591836702</v>
      </c>
      <c r="M86" s="32">
        <v>3899129132.01511</v>
      </c>
      <c r="N86" s="33">
        <v>187149782.15854901</v>
      </c>
      <c r="O86" s="34">
        <v>0.82040816326530597</v>
      </c>
      <c r="P86" s="3" t="str">
        <f t="shared" si="1"/>
        <v>11/14 open [27816] (dis： -494，-1.75% ) (vol_wei_pr：82.04%)</v>
      </c>
    </row>
    <row r="87" spans="1:16" hidden="1" x14ac:dyDescent="0.25">
      <c r="A87" t="s">
        <v>31</v>
      </c>
      <c r="B87" s="10" t="s">
        <v>32</v>
      </c>
      <c r="C87" s="62">
        <v>27816.45</v>
      </c>
      <c r="D87" s="35">
        <v>-494.02</v>
      </c>
      <c r="E87" s="9">
        <v>-1.74500811890442E-2</v>
      </c>
      <c r="F87" s="36">
        <v>12</v>
      </c>
      <c r="G87" s="37" t="s">
        <v>65</v>
      </c>
      <c r="H87" s="38">
        <v>45975</v>
      </c>
      <c r="I87" s="39" t="s">
        <v>15</v>
      </c>
      <c r="J87" s="40">
        <v>9939352945</v>
      </c>
      <c r="K87" s="41">
        <v>374558306.82122999</v>
      </c>
      <c r="L87" s="9">
        <v>0.82448979591836702</v>
      </c>
      <c r="M87" s="40">
        <v>3899129132.01511</v>
      </c>
      <c r="N87" s="41">
        <v>187149782.15854901</v>
      </c>
      <c r="O87" s="42">
        <v>0.82040816326530597</v>
      </c>
      <c r="P87" s="3" t="str">
        <f t="shared" si="1"/>
        <v>11/14 max [27816] (dis： -494，-1.75% ) (vol_wei_pr：82.04%)</v>
      </c>
    </row>
    <row r="88" spans="1:16" ht="17.25" hidden="1" thickBot="1" x14ac:dyDescent="0.3">
      <c r="A88" t="s">
        <v>31</v>
      </c>
      <c r="B88" s="10" t="s">
        <v>32</v>
      </c>
      <c r="C88" s="64">
        <v>27811.81</v>
      </c>
      <c r="D88" s="43">
        <v>-498.659999999999</v>
      </c>
      <c r="E88" s="8">
        <v>-1.7613978150133099E-2</v>
      </c>
      <c r="F88" s="44">
        <v>12</v>
      </c>
      <c r="G88" s="45" t="s">
        <v>65</v>
      </c>
      <c r="H88" s="46">
        <v>45974</v>
      </c>
      <c r="I88" s="47" t="s">
        <v>19</v>
      </c>
      <c r="J88" s="48">
        <v>10545273898</v>
      </c>
      <c r="K88" s="49">
        <v>374558306.82122999</v>
      </c>
      <c r="L88" s="8">
        <v>0.82448979591836702</v>
      </c>
      <c r="M88" s="48">
        <v>3995911586.3970699</v>
      </c>
      <c r="N88" s="49">
        <v>187149782.15854901</v>
      </c>
      <c r="O88" s="50">
        <v>0.82040816326530597</v>
      </c>
      <c r="P88" s="3" t="str">
        <f t="shared" si="1"/>
        <v>11/13 min [27812] (dis： -499，-1.76% ) (vol_wei_pr：82.04%)</v>
      </c>
    </row>
    <row r="89" spans="1:16" hidden="1" x14ac:dyDescent="0.25">
      <c r="A89" t="s">
        <v>31</v>
      </c>
      <c r="B89" s="10" t="s">
        <v>32</v>
      </c>
      <c r="C89" s="60">
        <v>27805.47</v>
      </c>
      <c r="D89" s="22">
        <v>-505</v>
      </c>
      <c r="E89" s="4">
        <v>-1.7837923566793399E-2</v>
      </c>
      <c r="F89" s="10">
        <v>11</v>
      </c>
      <c r="G89" s="3" t="s">
        <v>66</v>
      </c>
      <c r="H89" s="18">
        <v>45971</v>
      </c>
      <c r="I89" s="21" t="s">
        <v>17</v>
      </c>
      <c r="J89" s="12">
        <v>7491028505</v>
      </c>
      <c r="K89" s="13">
        <v>327986413.088067</v>
      </c>
      <c r="L89" s="4">
        <v>0.62653061224489703</v>
      </c>
      <c r="M89" s="12">
        <v>2558261625.5811701</v>
      </c>
      <c r="N89" s="13">
        <v>169502334.44227001</v>
      </c>
      <c r="O89" s="4">
        <v>0.67959183673469303</v>
      </c>
      <c r="P89" s="3" t="str">
        <f t="shared" si="1"/>
        <v>11/10 open [27805] (dis： -505，-1.78% ) (vol_wei_pr：67.96%)</v>
      </c>
    </row>
    <row r="90" spans="1:16" hidden="1" x14ac:dyDescent="0.25">
      <c r="A90" t="s">
        <v>31</v>
      </c>
      <c r="B90" s="10" t="s">
        <v>32</v>
      </c>
      <c r="C90" s="60">
        <v>27799.919999999998</v>
      </c>
      <c r="D90" s="22">
        <v>-510.550000000002</v>
      </c>
      <c r="E90" s="4">
        <v>-1.8033964112923601E-2</v>
      </c>
      <c r="F90" s="10">
        <v>11</v>
      </c>
      <c r="G90" s="3" t="s">
        <v>66</v>
      </c>
      <c r="H90" s="18">
        <v>45973</v>
      </c>
      <c r="I90" s="21" t="s">
        <v>19</v>
      </c>
      <c r="J90" s="12">
        <v>8954069218</v>
      </c>
      <c r="K90" s="13">
        <v>327986413.088067</v>
      </c>
      <c r="L90" s="4">
        <v>0.62653061224489703</v>
      </c>
      <c r="M90" s="12">
        <v>3277381165.6451998</v>
      </c>
      <c r="N90" s="13">
        <v>169502334.44227001</v>
      </c>
      <c r="O90" s="4">
        <v>0.67959183673469303</v>
      </c>
      <c r="P90" s="3" t="str">
        <f t="shared" si="1"/>
        <v>11/12 min [27800] (dis： -511，-1.80% ) (vol_wei_pr：67.96%)</v>
      </c>
    </row>
    <row r="91" spans="1:16" hidden="1" x14ac:dyDescent="0.25">
      <c r="A91" t="s">
        <v>31</v>
      </c>
      <c r="B91" s="10" t="s">
        <v>32</v>
      </c>
      <c r="C91" s="60">
        <v>27799.09</v>
      </c>
      <c r="D91" s="22">
        <v>-511.38000000000102</v>
      </c>
      <c r="E91" s="4">
        <v>-1.8063281888290799E-2</v>
      </c>
      <c r="F91" s="10">
        <v>11</v>
      </c>
      <c r="G91" s="3" t="s">
        <v>67</v>
      </c>
      <c r="H91" s="18">
        <v>45966</v>
      </c>
      <c r="I91" s="21" t="s">
        <v>15</v>
      </c>
      <c r="J91" s="12">
        <v>8989778518</v>
      </c>
      <c r="K91" s="13">
        <v>316148450.40882802</v>
      </c>
      <c r="L91" s="4">
        <v>0.60816326530612197</v>
      </c>
      <c r="M91" s="12">
        <v>2766928899.9109602</v>
      </c>
      <c r="N91" s="13">
        <v>163940575.49440101</v>
      </c>
      <c r="O91" s="4">
        <v>0.63265306122448906</v>
      </c>
      <c r="P91" s="3" t="str">
        <f t="shared" si="1"/>
        <v>11/05 max [27799] (dis： -511，-1.81% ) (vol_wei_pr：63.27%)</v>
      </c>
    </row>
    <row r="92" spans="1:16" hidden="1" x14ac:dyDescent="0.25">
      <c r="A92" t="s">
        <v>31</v>
      </c>
      <c r="B92" s="10" t="s">
        <v>32</v>
      </c>
      <c r="C92" s="61">
        <v>27796.9</v>
      </c>
      <c r="D92" s="27">
        <v>-513.56999999999903</v>
      </c>
      <c r="E92" s="7">
        <v>-1.81406384281151E-2</v>
      </c>
      <c r="F92" s="28">
        <v>12</v>
      </c>
      <c r="G92" s="29" t="s">
        <v>68</v>
      </c>
      <c r="H92" s="30">
        <v>45989</v>
      </c>
      <c r="I92" s="31" t="s">
        <v>15</v>
      </c>
      <c r="J92" s="32">
        <v>7671742311</v>
      </c>
      <c r="K92" s="33">
        <v>349391115.76544398</v>
      </c>
      <c r="L92" s="7">
        <v>0.71836734693877502</v>
      </c>
      <c r="M92" s="32">
        <v>4256165532.9284101</v>
      </c>
      <c r="N92" s="33">
        <v>182383098.81933501</v>
      </c>
      <c r="O92" s="34">
        <v>0.79183673469387705</v>
      </c>
      <c r="P92" s="3" t="str">
        <f t="shared" si="1"/>
        <v>11/28 max [27797] (dis： -514，-1.81% ) (vol_wei_pr：79.18%)</v>
      </c>
    </row>
    <row r="93" spans="1:16" hidden="1" x14ac:dyDescent="0.25">
      <c r="A93" t="s">
        <v>31</v>
      </c>
      <c r="B93" s="10" t="s">
        <v>32</v>
      </c>
      <c r="C93" s="62">
        <v>27796.43</v>
      </c>
      <c r="D93" s="35">
        <v>-514.04</v>
      </c>
      <c r="E93" s="9">
        <v>-1.8157240059949498E-2</v>
      </c>
      <c r="F93" s="36">
        <v>12</v>
      </c>
      <c r="G93" s="37" t="s">
        <v>68</v>
      </c>
      <c r="H93" s="38">
        <v>45996</v>
      </c>
      <c r="I93" s="39" t="s">
        <v>17</v>
      </c>
      <c r="J93" s="40">
        <v>6781520261</v>
      </c>
      <c r="K93" s="41">
        <v>349391115.76544398</v>
      </c>
      <c r="L93" s="9">
        <v>0.71836734693877502</v>
      </c>
      <c r="M93" s="40">
        <v>4474134815.7280798</v>
      </c>
      <c r="N93" s="41">
        <v>182383098.81933501</v>
      </c>
      <c r="O93" s="42">
        <v>0.79183673469387705</v>
      </c>
      <c r="P93" s="3" t="str">
        <f t="shared" si="1"/>
        <v>12/05 open [27796] (dis： -514，-1.82% ) (vol_wei_pr：79.18%)</v>
      </c>
    </row>
    <row r="94" spans="1:16" hidden="1" x14ac:dyDescent="0.25">
      <c r="A94" t="s">
        <v>31</v>
      </c>
      <c r="B94" s="10" t="s">
        <v>32</v>
      </c>
      <c r="C94" s="62">
        <v>27795.71</v>
      </c>
      <c r="D94" s="35">
        <v>-514.76000000000204</v>
      </c>
      <c r="E94" s="9">
        <v>-1.8182672347015101E-2</v>
      </c>
      <c r="F94" s="36">
        <v>12</v>
      </c>
      <c r="G94" s="37" t="s">
        <v>68</v>
      </c>
      <c r="H94" s="38">
        <v>45995</v>
      </c>
      <c r="I94" s="39" t="s">
        <v>16</v>
      </c>
      <c r="J94" s="40">
        <v>6475222009</v>
      </c>
      <c r="K94" s="41">
        <v>349391115.76544398</v>
      </c>
      <c r="L94" s="9">
        <v>0.71836734693877502</v>
      </c>
      <c r="M94" s="40">
        <v>4126531512.9112601</v>
      </c>
      <c r="N94" s="41">
        <v>182383098.81933501</v>
      </c>
      <c r="O94" s="42">
        <v>0.79183673469387705</v>
      </c>
      <c r="P94" s="3" t="str">
        <f t="shared" si="1"/>
        <v>12/04 close [27796] (dis： -515，-1.82% ) (vol_wei_pr：79.18%)</v>
      </c>
    </row>
    <row r="95" spans="1:16" hidden="1" x14ac:dyDescent="0.25">
      <c r="A95" t="s">
        <v>31</v>
      </c>
      <c r="B95" s="10" t="s">
        <v>32</v>
      </c>
      <c r="C95" s="62">
        <v>27793.040000000001</v>
      </c>
      <c r="D95" s="35">
        <v>-517.42999999999995</v>
      </c>
      <c r="E95" s="9">
        <v>-1.8276983744882999E-2</v>
      </c>
      <c r="F95" s="36">
        <v>12</v>
      </c>
      <c r="G95" s="37" t="s">
        <v>68</v>
      </c>
      <c r="H95" s="38">
        <v>45994</v>
      </c>
      <c r="I95" s="39" t="s">
        <v>16</v>
      </c>
      <c r="J95" s="40">
        <v>6838633055</v>
      </c>
      <c r="K95" s="41">
        <v>349391115.76544398</v>
      </c>
      <c r="L95" s="9">
        <v>0.71836734693877502</v>
      </c>
      <c r="M95" s="40">
        <v>4209672440.2895598</v>
      </c>
      <c r="N95" s="41">
        <v>182383098.81933501</v>
      </c>
      <c r="O95" s="42">
        <v>0.79183673469387705</v>
      </c>
      <c r="P95" s="3" t="str">
        <f t="shared" si="1"/>
        <v>12/03 close [27793] (dis： -517，-1.83% ) (vol_wei_pr：79.18%)</v>
      </c>
    </row>
    <row r="96" spans="1:16" hidden="1" x14ac:dyDescent="0.25">
      <c r="A96" t="s">
        <v>31</v>
      </c>
      <c r="B96" s="10" t="s">
        <v>32</v>
      </c>
      <c r="C96" s="62">
        <v>27785.91</v>
      </c>
      <c r="D96" s="35">
        <v>-524.56000000000097</v>
      </c>
      <c r="E96" s="9">
        <v>-1.8528834032073602E-2</v>
      </c>
      <c r="F96" s="36">
        <v>12</v>
      </c>
      <c r="G96" s="37" t="s">
        <v>68</v>
      </c>
      <c r="H96" s="38">
        <v>45966</v>
      </c>
      <c r="I96" s="39" t="s">
        <v>17</v>
      </c>
      <c r="J96" s="40">
        <v>8989778518</v>
      </c>
      <c r="K96" s="41">
        <v>349391115.76544398</v>
      </c>
      <c r="L96" s="9">
        <v>0.71836734693877502</v>
      </c>
      <c r="M96" s="40">
        <v>2766928899.9109602</v>
      </c>
      <c r="N96" s="41">
        <v>182383098.81933501</v>
      </c>
      <c r="O96" s="42">
        <v>0.79183673469387705</v>
      </c>
      <c r="P96" s="3" t="str">
        <f t="shared" si="1"/>
        <v>11/05 open [27786] (dis： -525，-1.85% ) (vol_wei_pr：79.18%)</v>
      </c>
    </row>
    <row r="97" spans="1:16" hidden="1" x14ac:dyDescent="0.25">
      <c r="A97" t="s">
        <v>31</v>
      </c>
      <c r="B97" s="10" t="s">
        <v>32</v>
      </c>
      <c r="C97" s="62">
        <v>27784.95</v>
      </c>
      <c r="D97" s="35">
        <v>-525.52</v>
      </c>
      <c r="E97" s="9">
        <v>-1.8562743748161002E-2</v>
      </c>
      <c r="F97" s="36">
        <v>12</v>
      </c>
      <c r="G97" s="37" t="s">
        <v>68</v>
      </c>
      <c r="H97" s="38">
        <v>45972</v>
      </c>
      <c r="I97" s="39" t="s">
        <v>16</v>
      </c>
      <c r="J97" s="40">
        <v>8924063428</v>
      </c>
      <c r="K97" s="41">
        <v>349391115.76544398</v>
      </c>
      <c r="L97" s="9">
        <v>0.71836734693877502</v>
      </c>
      <c r="M97" s="40">
        <v>3155132882.83883</v>
      </c>
      <c r="N97" s="41">
        <v>182383098.81933501</v>
      </c>
      <c r="O97" s="42">
        <v>0.79183673469387705</v>
      </c>
      <c r="P97" s="3" t="str">
        <f t="shared" si="1"/>
        <v>11/11 close [27785] (dis： -526，-1.86% ) (vol_wei_pr：79.18%)</v>
      </c>
    </row>
    <row r="98" spans="1:16" ht="17.25" hidden="1" thickBot="1" x14ac:dyDescent="0.3">
      <c r="A98" t="s">
        <v>31</v>
      </c>
      <c r="B98" s="10" t="s">
        <v>32</v>
      </c>
      <c r="C98" s="64">
        <v>27784.95</v>
      </c>
      <c r="D98" s="43">
        <v>-525.52</v>
      </c>
      <c r="E98" s="8">
        <v>-1.8562743748161002E-2</v>
      </c>
      <c r="F98" s="44">
        <v>12</v>
      </c>
      <c r="G98" s="45" t="s">
        <v>68</v>
      </c>
      <c r="H98" s="46">
        <v>45972</v>
      </c>
      <c r="I98" s="47" t="s">
        <v>19</v>
      </c>
      <c r="J98" s="48">
        <v>8924063428</v>
      </c>
      <c r="K98" s="49">
        <v>349391115.76544398</v>
      </c>
      <c r="L98" s="8">
        <v>0.71836734693877502</v>
      </c>
      <c r="M98" s="48">
        <v>3155132882.83883</v>
      </c>
      <c r="N98" s="49">
        <v>182383098.81933501</v>
      </c>
      <c r="O98" s="50">
        <v>0.79183673469387705</v>
      </c>
      <c r="P98" s="3" t="str">
        <f t="shared" si="1"/>
        <v>11/11 min [27785] (dis： -526，-1.86% ) (vol_wei_pr：79.18%)</v>
      </c>
    </row>
    <row r="99" spans="1:16" hidden="1" x14ac:dyDescent="0.25">
      <c r="A99" t="s">
        <v>31</v>
      </c>
      <c r="B99" s="10" t="s">
        <v>32</v>
      </c>
      <c r="C99" s="61">
        <v>27780.69</v>
      </c>
      <c r="D99" s="27">
        <v>-529.78000000000202</v>
      </c>
      <c r="E99" s="7">
        <v>-1.8713218113298801E-2</v>
      </c>
      <c r="F99" s="28">
        <v>12</v>
      </c>
      <c r="G99" s="29" t="s">
        <v>69</v>
      </c>
      <c r="H99" s="30">
        <v>46008</v>
      </c>
      <c r="I99" s="31" t="s">
        <v>15</v>
      </c>
      <c r="J99" s="32">
        <v>9020647323</v>
      </c>
      <c r="K99" s="33">
        <v>356230197.70332098</v>
      </c>
      <c r="L99" s="7">
        <v>0.75714285714285701</v>
      </c>
      <c r="M99" s="32">
        <v>7852929608.3333197</v>
      </c>
      <c r="N99" s="33">
        <v>199792397.57269901</v>
      </c>
      <c r="O99" s="34">
        <v>0.86734693877550995</v>
      </c>
      <c r="P99" s="3" t="str">
        <f t="shared" si="1"/>
        <v>12/17 max [27781] (dis： -530，-1.87% ) (vol_wei_pr：86.73%)</v>
      </c>
    </row>
    <row r="100" spans="1:16" ht="17.25" hidden="1" thickBot="1" x14ac:dyDescent="0.3">
      <c r="A100" t="s">
        <v>31</v>
      </c>
      <c r="B100" s="10" t="s">
        <v>32</v>
      </c>
      <c r="C100" s="64">
        <v>27773.42</v>
      </c>
      <c r="D100" s="43">
        <v>-537.050000000002</v>
      </c>
      <c r="E100" s="8">
        <v>-1.89700135674188E-2</v>
      </c>
      <c r="F100" s="44">
        <v>12</v>
      </c>
      <c r="G100" s="45" t="s">
        <v>69</v>
      </c>
      <c r="H100" s="46">
        <v>45995</v>
      </c>
      <c r="I100" s="47" t="s">
        <v>17</v>
      </c>
      <c r="J100" s="48">
        <v>6475222009</v>
      </c>
      <c r="K100" s="49">
        <v>356230197.70332098</v>
      </c>
      <c r="L100" s="8">
        <v>0.75714285714285701</v>
      </c>
      <c r="M100" s="48">
        <v>4126531512.9112601</v>
      </c>
      <c r="N100" s="49">
        <v>199792397.57269901</v>
      </c>
      <c r="O100" s="50">
        <v>0.86734693877550995</v>
      </c>
      <c r="P100" s="3" t="str">
        <f t="shared" si="1"/>
        <v>12/04 open [27773] (dis： -537，-1.90% ) (vol_wei_pr：86.73%)</v>
      </c>
    </row>
    <row r="101" spans="1:16" hidden="1" x14ac:dyDescent="0.25">
      <c r="A101" t="s">
        <v>31</v>
      </c>
      <c r="B101" s="10" t="s">
        <v>32</v>
      </c>
      <c r="C101" s="61">
        <v>27768.27</v>
      </c>
      <c r="D101" s="27">
        <v>-542.20000000000005</v>
      </c>
      <c r="E101" s="7">
        <v>-1.9151925065179001E-2</v>
      </c>
      <c r="F101" s="28">
        <v>13</v>
      </c>
      <c r="G101" s="29" t="s">
        <v>70</v>
      </c>
      <c r="H101" s="30">
        <v>45950</v>
      </c>
      <c r="I101" s="31" t="s">
        <v>15</v>
      </c>
      <c r="J101" s="32">
        <v>8045886081</v>
      </c>
      <c r="K101" s="33">
        <v>378842434.45504898</v>
      </c>
      <c r="L101" s="7">
        <v>0.83877551020408103</v>
      </c>
      <c r="M101" s="32">
        <v>1691439190.76316</v>
      </c>
      <c r="N101" s="33">
        <v>204546034.77904901</v>
      </c>
      <c r="O101" s="34">
        <v>0.90816326530612201</v>
      </c>
      <c r="P101" s="3" t="str">
        <f t="shared" si="1"/>
        <v>10/20 max [27768] (dis： -542，-1.92% ) (vol_wei_pr：90.82%)</v>
      </c>
    </row>
    <row r="102" spans="1:16" hidden="1" x14ac:dyDescent="0.25">
      <c r="A102" t="s">
        <v>31</v>
      </c>
      <c r="B102" s="10" t="s">
        <v>32</v>
      </c>
      <c r="C102" s="62">
        <v>27752.41</v>
      </c>
      <c r="D102" s="35">
        <v>-558.06000000000097</v>
      </c>
      <c r="E102" s="9">
        <v>-1.9712141833039199E-2</v>
      </c>
      <c r="F102" s="36">
        <v>13</v>
      </c>
      <c r="G102" s="37" t="s">
        <v>70</v>
      </c>
      <c r="H102" s="38">
        <v>45951</v>
      </c>
      <c r="I102" s="39" t="s">
        <v>16</v>
      </c>
      <c r="J102" s="40">
        <v>8507303277</v>
      </c>
      <c r="K102" s="41">
        <v>378842434.45504898</v>
      </c>
      <c r="L102" s="9">
        <v>0.83877551020408103</v>
      </c>
      <c r="M102" s="40">
        <v>1851509414.9808199</v>
      </c>
      <c r="N102" s="41">
        <v>204546034.77904901</v>
      </c>
      <c r="O102" s="42">
        <v>0.90816326530612201</v>
      </c>
      <c r="P102" s="3" t="str">
        <f t="shared" si="1"/>
        <v>10/21 close [27752] (dis： -558，-1.97% ) (vol_wei_pr：90.82%)</v>
      </c>
    </row>
    <row r="103" spans="1:16" hidden="1" x14ac:dyDescent="0.25">
      <c r="A103" t="s">
        <v>31</v>
      </c>
      <c r="B103" s="10" t="s">
        <v>32</v>
      </c>
      <c r="C103" s="62">
        <v>27742.55</v>
      </c>
      <c r="D103" s="35">
        <v>-567.92000000000098</v>
      </c>
      <c r="E103" s="9">
        <v>-2.0060422875353201E-2</v>
      </c>
      <c r="F103" s="36">
        <v>13</v>
      </c>
      <c r="G103" s="37" t="s">
        <v>70</v>
      </c>
      <c r="H103" s="38">
        <v>45951</v>
      </c>
      <c r="I103" s="39" t="s">
        <v>17</v>
      </c>
      <c r="J103" s="40">
        <v>8507303277</v>
      </c>
      <c r="K103" s="41">
        <v>378842434.45504898</v>
      </c>
      <c r="L103" s="9">
        <v>0.83877551020408103</v>
      </c>
      <c r="M103" s="40">
        <v>1851509414.9808199</v>
      </c>
      <c r="N103" s="41">
        <v>204546034.77904901</v>
      </c>
      <c r="O103" s="42">
        <v>0.90816326530612201</v>
      </c>
      <c r="P103" s="3" t="str">
        <f t="shared" si="1"/>
        <v>10/21 open [27743] (dis： -568，-2.01% ) (vol_wei_pr：90.82%)</v>
      </c>
    </row>
    <row r="104" spans="1:16" ht="17.25" hidden="1" thickBot="1" x14ac:dyDescent="0.3">
      <c r="A104" t="s">
        <v>31</v>
      </c>
      <c r="B104" s="10" t="s">
        <v>32</v>
      </c>
      <c r="C104" s="64">
        <v>27742.55</v>
      </c>
      <c r="D104" s="43">
        <v>-567.92000000000098</v>
      </c>
      <c r="E104" s="8">
        <v>-2.0060422875353201E-2</v>
      </c>
      <c r="F104" s="44">
        <v>13</v>
      </c>
      <c r="G104" s="45" t="s">
        <v>70</v>
      </c>
      <c r="H104" s="46">
        <v>45951</v>
      </c>
      <c r="I104" s="47" t="s">
        <v>19</v>
      </c>
      <c r="J104" s="48">
        <v>8507303277</v>
      </c>
      <c r="K104" s="49">
        <v>378842434.45504898</v>
      </c>
      <c r="L104" s="8">
        <v>0.83877551020408103</v>
      </c>
      <c r="M104" s="48">
        <v>1851509414.9808199</v>
      </c>
      <c r="N104" s="49">
        <v>204546034.77904901</v>
      </c>
      <c r="O104" s="50">
        <v>0.90816326530612201</v>
      </c>
      <c r="P104" s="3" t="str">
        <f t="shared" si="1"/>
        <v>10/21 min [27743] (dis： -568，-2.01% ) (vol_wei_pr：90.82%)</v>
      </c>
    </row>
    <row r="105" spans="1:16" hidden="1" x14ac:dyDescent="0.25">
      <c r="A105" t="s">
        <v>31</v>
      </c>
      <c r="B105" s="10" t="s">
        <v>32</v>
      </c>
      <c r="C105" s="60">
        <v>27741.89</v>
      </c>
      <c r="D105" s="22">
        <v>-568.58000000000095</v>
      </c>
      <c r="E105" s="4">
        <v>-2.0083735805163299E-2</v>
      </c>
      <c r="F105" s="10">
        <v>13</v>
      </c>
      <c r="G105" s="3" t="s">
        <v>71</v>
      </c>
      <c r="H105" s="18">
        <v>45993</v>
      </c>
      <c r="I105" s="21" t="s">
        <v>15</v>
      </c>
      <c r="J105" s="12">
        <v>7321099919</v>
      </c>
      <c r="K105" s="13">
        <v>368931299.02716899</v>
      </c>
      <c r="L105" s="4">
        <v>0.81224489795918298</v>
      </c>
      <c r="M105" s="12">
        <v>4353152056.6603203</v>
      </c>
      <c r="N105" s="13">
        <v>212811617.10674599</v>
      </c>
      <c r="O105" s="4">
        <v>0.93877551020408101</v>
      </c>
      <c r="P105" s="3" t="str">
        <f t="shared" si="1"/>
        <v>12/02 max [27742] (dis： -569，-2.01% ) (vol_wei_pr：93.88%)</v>
      </c>
    </row>
    <row r="106" spans="1:16" hidden="1" x14ac:dyDescent="0.25">
      <c r="A106" t="s">
        <v>31</v>
      </c>
      <c r="B106" s="10" t="s">
        <v>32</v>
      </c>
      <c r="C106" s="60">
        <v>27740.66</v>
      </c>
      <c r="D106" s="22">
        <v>-569.81000000000097</v>
      </c>
      <c r="E106" s="4">
        <v>-2.01271826289002E-2</v>
      </c>
      <c r="F106" s="10">
        <v>14</v>
      </c>
      <c r="G106" s="3" t="s">
        <v>72</v>
      </c>
      <c r="H106" s="18">
        <v>46007</v>
      </c>
      <c r="I106" s="21" t="s">
        <v>15</v>
      </c>
      <c r="J106" s="12">
        <v>9586999810</v>
      </c>
      <c r="K106" s="13">
        <v>393833244.03872699</v>
      </c>
      <c r="L106" s="4">
        <v>0.86734693877550995</v>
      </c>
      <c r="M106" s="12">
        <v>8061673773.2670403</v>
      </c>
      <c r="N106" s="13">
        <v>233751573.399811</v>
      </c>
      <c r="O106" s="4">
        <v>0.96122448979591801</v>
      </c>
      <c r="P106" s="3" t="str">
        <f t="shared" si="1"/>
        <v>12/16 max [27741] (dis： -570，-2.01% ) (vol_wei_pr：96.12%)</v>
      </c>
    </row>
    <row r="107" spans="1:16" hidden="1" x14ac:dyDescent="0.25">
      <c r="A107" t="s">
        <v>31</v>
      </c>
      <c r="B107" s="10" t="s">
        <v>32</v>
      </c>
      <c r="C107" s="60">
        <v>27738.5</v>
      </c>
      <c r="D107" s="22">
        <v>-571.97000000000105</v>
      </c>
      <c r="E107" s="4">
        <v>-2.02034794900968E-2</v>
      </c>
      <c r="F107" s="10">
        <v>14</v>
      </c>
      <c r="G107" s="3" t="s">
        <v>72</v>
      </c>
      <c r="H107" s="18">
        <v>45996</v>
      </c>
      <c r="I107" s="21" t="s">
        <v>19</v>
      </c>
      <c r="J107" s="12">
        <v>6781520261</v>
      </c>
      <c r="K107" s="13">
        <v>393833244.03872699</v>
      </c>
      <c r="L107" s="4">
        <v>0.86734693877550995</v>
      </c>
      <c r="M107" s="12">
        <v>4474134815.7280798</v>
      </c>
      <c r="N107" s="13">
        <v>233751573.399811</v>
      </c>
      <c r="O107" s="4">
        <v>0.96122448979591801</v>
      </c>
      <c r="P107" s="3" t="str">
        <f t="shared" si="1"/>
        <v>12/05 min [27739] (dis： -572，-2.02% ) (vol_wei_pr：96.12%)</v>
      </c>
    </row>
    <row r="108" spans="1:16" hidden="1" x14ac:dyDescent="0.25">
      <c r="A108" t="s">
        <v>31</v>
      </c>
      <c r="B108" s="10" t="s">
        <v>32</v>
      </c>
      <c r="C108" s="60">
        <v>27732.78</v>
      </c>
      <c r="D108" s="22">
        <v>-577.69000000000199</v>
      </c>
      <c r="E108" s="4">
        <v>-2.0405524881784098E-2</v>
      </c>
      <c r="F108" s="10">
        <v>14</v>
      </c>
      <c r="G108" s="3" t="s">
        <v>73</v>
      </c>
      <c r="H108" s="18">
        <v>45946</v>
      </c>
      <c r="I108" s="21" t="s">
        <v>15</v>
      </c>
      <c r="J108" s="12">
        <v>9035460141</v>
      </c>
      <c r="K108" s="13">
        <v>388703495.975981</v>
      </c>
      <c r="L108" s="4">
        <v>0.85306122448979504</v>
      </c>
      <c r="M108" s="12">
        <v>1772269585.9521301</v>
      </c>
      <c r="N108" s="13">
        <v>219774699.47154</v>
      </c>
      <c r="O108" s="4">
        <v>0.94285714285714195</v>
      </c>
      <c r="P108" s="3" t="str">
        <f t="shared" si="1"/>
        <v>10/16 max [27733] (dis： -578，-2.04% ) (vol_wei_pr：94.29%)</v>
      </c>
    </row>
    <row r="109" spans="1:16" hidden="1" x14ac:dyDescent="0.25">
      <c r="A109" t="s">
        <v>31</v>
      </c>
      <c r="B109" s="10" t="s">
        <v>32</v>
      </c>
      <c r="C109" s="60">
        <v>27725.83</v>
      </c>
      <c r="D109" s="22">
        <v>-584.63999999999896</v>
      </c>
      <c r="E109" s="4">
        <v>-2.06510170972081E-2</v>
      </c>
      <c r="F109" s="10">
        <v>15</v>
      </c>
      <c r="G109" s="3" t="s">
        <v>74</v>
      </c>
      <c r="H109" s="18">
        <v>45952</v>
      </c>
      <c r="I109" s="21" t="s">
        <v>15</v>
      </c>
      <c r="J109" s="12">
        <v>7835590935</v>
      </c>
      <c r="K109" s="13">
        <v>422054951.39012903</v>
      </c>
      <c r="L109" s="4">
        <v>0.946938775510204</v>
      </c>
      <c r="M109" s="12">
        <v>1765457488.74949</v>
      </c>
      <c r="N109" s="13">
        <v>227289203.12672701</v>
      </c>
      <c r="O109" s="4">
        <v>0.946938775510204</v>
      </c>
      <c r="P109" s="3" t="str">
        <f t="shared" si="1"/>
        <v>10/22 max [27726] (dis： -585，-2.07% ) (vol_wei_pr：94.69%)</v>
      </c>
    </row>
    <row r="110" spans="1:16" hidden="1" x14ac:dyDescent="0.25">
      <c r="A110" t="s">
        <v>31</v>
      </c>
      <c r="B110" s="10" t="s">
        <v>32</v>
      </c>
      <c r="C110" s="61">
        <v>27723.77</v>
      </c>
      <c r="D110" s="27">
        <v>-586.70000000000005</v>
      </c>
      <c r="E110" s="7">
        <v>-2.07237816963123E-2</v>
      </c>
      <c r="F110" s="28">
        <v>16</v>
      </c>
      <c r="G110" s="29" t="s">
        <v>75</v>
      </c>
      <c r="H110" s="30">
        <v>45978</v>
      </c>
      <c r="I110" s="31" t="s">
        <v>15</v>
      </c>
      <c r="J110" s="32">
        <v>8604107358</v>
      </c>
      <c r="K110" s="33">
        <v>453177382.69303</v>
      </c>
      <c r="L110" s="7">
        <v>0.97142857142857097</v>
      </c>
      <c r="M110" s="32">
        <v>3494353410.0208998</v>
      </c>
      <c r="N110" s="33">
        <v>239928837.829833</v>
      </c>
      <c r="O110" s="34">
        <v>0.97551020408163203</v>
      </c>
      <c r="P110" s="3" t="str">
        <f t="shared" si="1"/>
        <v>11/17 max [27724] (dis： -587，-2.07% ) (vol_wei_pr：97.55%)</v>
      </c>
    </row>
    <row r="111" spans="1:16" hidden="1" x14ac:dyDescent="0.25">
      <c r="A111" t="s">
        <v>31</v>
      </c>
      <c r="B111" s="10" t="s">
        <v>32</v>
      </c>
      <c r="C111" s="62">
        <v>27721.1</v>
      </c>
      <c r="D111" s="35">
        <v>-589.37000000000205</v>
      </c>
      <c r="E111" s="9">
        <v>-2.0818093094180399E-2</v>
      </c>
      <c r="F111" s="36">
        <v>16</v>
      </c>
      <c r="G111" s="37" t="s">
        <v>75</v>
      </c>
      <c r="H111" s="38">
        <v>46007</v>
      </c>
      <c r="I111" s="39" t="s">
        <v>17</v>
      </c>
      <c r="J111" s="40">
        <v>9586999810</v>
      </c>
      <c r="K111" s="41">
        <v>453177382.69303</v>
      </c>
      <c r="L111" s="9">
        <v>0.97142857142857097</v>
      </c>
      <c r="M111" s="40">
        <v>8061673773.2670403</v>
      </c>
      <c r="N111" s="41">
        <v>239928837.829833</v>
      </c>
      <c r="O111" s="42">
        <v>0.97551020408163203</v>
      </c>
      <c r="P111" s="3" t="str">
        <f t="shared" si="1"/>
        <v>12/16 open [27721] (dis： -589，-2.08% ) (vol_wei_pr：97.55%)</v>
      </c>
    </row>
    <row r="112" spans="1:16" ht="17.25" hidden="1" thickBot="1" x14ac:dyDescent="0.3">
      <c r="A112" t="s">
        <v>31</v>
      </c>
      <c r="B112" s="10" t="s">
        <v>32</v>
      </c>
      <c r="C112" s="64">
        <v>27717.06</v>
      </c>
      <c r="D112" s="43">
        <v>-593.40999999999894</v>
      </c>
      <c r="E112" s="8">
        <v>-2.0960796482714601E-2</v>
      </c>
      <c r="F112" s="44">
        <v>16</v>
      </c>
      <c r="G112" s="45" t="s">
        <v>75</v>
      </c>
      <c r="H112" s="46">
        <v>45966</v>
      </c>
      <c r="I112" s="47" t="s">
        <v>16</v>
      </c>
      <c r="J112" s="48">
        <v>8989778518</v>
      </c>
      <c r="K112" s="49">
        <v>453177382.69303</v>
      </c>
      <c r="L112" s="8">
        <v>0.97142857142857097</v>
      </c>
      <c r="M112" s="48">
        <v>2766928899.9109602</v>
      </c>
      <c r="N112" s="49">
        <v>239928837.829833</v>
      </c>
      <c r="O112" s="50">
        <v>0.97551020408163203</v>
      </c>
      <c r="P112" s="3" t="str">
        <f t="shared" si="1"/>
        <v>11/05 close [27717] (dis： -593，-2.10% ) (vol_wei_pr：97.55%)</v>
      </c>
    </row>
    <row r="113" spans="1:16" hidden="1" x14ac:dyDescent="0.25">
      <c r="A113" t="s">
        <v>31</v>
      </c>
      <c r="B113" s="10" t="s">
        <v>32</v>
      </c>
      <c r="C113" s="61">
        <v>27697.06</v>
      </c>
      <c r="D113" s="27">
        <v>-613.40999999999894</v>
      </c>
      <c r="E113" s="7">
        <v>-2.1667248901201499E-2</v>
      </c>
      <c r="F113" s="28">
        <v>17</v>
      </c>
      <c r="G113" s="29" t="s">
        <v>76</v>
      </c>
      <c r="H113" s="30">
        <v>45992</v>
      </c>
      <c r="I113" s="31" t="s">
        <v>15</v>
      </c>
      <c r="J113" s="32">
        <v>7418235597</v>
      </c>
      <c r="K113" s="33">
        <v>474101523.37788099</v>
      </c>
      <c r="L113" s="7">
        <v>0.99183673469387701</v>
      </c>
      <c r="M113" s="32">
        <v>4260657513.6271701</v>
      </c>
      <c r="N113" s="33">
        <v>251946600.82203999</v>
      </c>
      <c r="O113" s="34">
        <v>0.99183673469387701</v>
      </c>
      <c r="P113" s="3" t="str">
        <f t="shared" si="1"/>
        <v>12/01 max [27697] (dis： -613，-2.17% ) (vol_wei_pr：99.18%)</v>
      </c>
    </row>
    <row r="114" spans="1:16" hidden="1" x14ac:dyDescent="0.25">
      <c r="A114" t="s">
        <v>31</v>
      </c>
      <c r="B114" s="10" t="s">
        <v>32</v>
      </c>
      <c r="C114" s="62">
        <v>27696.35</v>
      </c>
      <c r="D114" s="35">
        <v>-614.12000000000205</v>
      </c>
      <c r="E114" s="9">
        <v>-2.1692327962057899E-2</v>
      </c>
      <c r="F114" s="36">
        <v>17</v>
      </c>
      <c r="G114" s="37" t="s">
        <v>76</v>
      </c>
      <c r="H114" s="38">
        <v>46010</v>
      </c>
      <c r="I114" s="39" t="s">
        <v>16</v>
      </c>
      <c r="J114" s="40">
        <v>9145168124</v>
      </c>
      <c r="K114" s="41">
        <v>474101523.37788099</v>
      </c>
      <c r="L114" s="9">
        <v>0.99183673469387701</v>
      </c>
      <c r="M114" s="40">
        <v>8532743572.8427696</v>
      </c>
      <c r="N114" s="41">
        <v>251946600.82203999</v>
      </c>
      <c r="O114" s="42">
        <v>0.99183673469387701</v>
      </c>
      <c r="P114" s="3" t="str">
        <f t="shared" si="1"/>
        <v>12/19 close [27696] (dis： -614，-2.17% ) (vol_wei_pr：99.18%)</v>
      </c>
    </row>
    <row r="115" spans="1:16" hidden="1" x14ac:dyDescent="0.25">
      <c r="A115" t="s">
        <v>31</v>
      </c>
      <c r="B115" s="10" t="s">
        <v>32</v>
      </c>
      <c r="C115" s="62">
        <v>27688.63</v>
      </c>
      <c r="D115" s="35">
        <v>-621.84</v>
      </c>
      <c r="E115" s="9">
        <v>-2.1965018595593699E-2</v>
      </c>
      <c r="F115" s="36">
        <v>17</v>
      </c>
      <c r="G115" s="37" t="s">
        <v>76</v>
      </c>
      <c r="H115" s="38">
        <v>45950</v>
      </c>
      <c r="I115" s="39" t="s">
        <v>16</v>
      </c>
      <c r="J115" s="40">
        <v>8045886081</v>
      </c>
      <c r="K115" s="41">
        <v>474101523.37788099</v>
      </c>
      <c r="L115" s="9">
        <v>0.99183673469387701</v>
      </c>
      <c r="M115" s="40">
        <v>1691439190.76316</v>
      </c>
      <c r="N115" s="41">
        <v>251946600.82203999</v>
      </c>
      <c r="O115" s="42">
        <v>0.99183673469387701</v>
      </c>
      <c r="P115" s="3" t="str">
        <f t="shared" si="1"/>
        <v>10/20 close [27689] (dis： -622，-2.20% ) (vol_wei_pr：99.18%)</v>
      </c>
    </row>
    <row r="116" spans="1:16" hidden="1" x14ac:dyDescent="0.25">
      <c r="A116" t="s">
        <v>31</v>
      </c>
      <c r="B116" s="10" t="s">
        <v>32</v>
      </c>
      <c r="C116" s="62">
        <v>27685.74</v>
      </c>
      <c r="D116" s="35">
        <v>-624.729999999999</v>
      </c>
      <c r="E116" s="9">
        <v>-2.20671009700651E-2</v>
      </c>
      <c r="F116" s="36">
        <v>17</v>
      </c>
      <c r="G116" s="37" t="s">
        <v>76</v>
      </c>
      <c r="H116" s="38">
        <v>46010</v>
      </c>
      <c r="I116" s="39" t="s">
        <v>17</v>
      </c>
      <c r="J116" s="40">
        <v>9145168124</v>
      </c>
      <c r="K116" s="41">
        <v>474101523.37788099</v>
      </c>
      <c r="L116" s="9">
        <v>0.99183673469387701</v>
      </c>
      <c r="M116" s="40">
        <v>8532743572.8427696</v>
      </c>
      <c r="N116" s="41">
        <v>251946600.82203999</v>
      </c>
      <c r="O116" s="42">
        <v>0.99183673469387701</v>
      </c>
      <c r="P116" s="3" t="str">
        <f t="shared" si="1"/>
        <v>12/19 open [27686] (dis： -625，-2.21% ) (vol_wei_pr：99.18%)</v>
      </c>
    </row>
    <row r="117" spans="1:16" ht="17.25" hidden="1" thickBot="1" x14ac:dyDescent="0.3">
      <c r="A117" t="s">
        <v>31</v>
      </c>
      <c r="B117" s="10" t="s">
        <v>32</v>
      </c>
      <c r="C117" s="64">
        <v>27684.87</v>
      </c>
      <c r="D117" s="43">
        <v>-625.60000000000196</v>
      </c>
      <c r="E117" s="8">
        <v>-2.2097831650269299E-2</v>
      </c>
      <c r="F117" s="44">
        <v>17</v>
      </c>
      <c r="G117" s="45" t="s">
        <v>76</v>
      </c>
      <c r="H117" s="46">
        <v>46006</v>
      </c>
      <c r="I117" s="47" t="s">
        <v>19</v>
      </c>
      <c r="J117" s="48">
        <v>7855274707</v>
      </c>
      <c r="K117" s="49">
        <v>474101523.37788099</v>
      </c>
      <c r="L117" s="8">
        <v>0.99183673469387701</v>
      </c>
      <c r="M117" s="48">
        <v>6380465704.7972698</v>
      </c>
      <c r="N117" s="49">
        <v>251946600.82203999</v>
      </c>
      <c r="O117" s="50">
        <v>0.99183673469387701</v>
      </c>
      <c r="P117" s="3" t="str">
        <f t="shared" si="1"/>
        <v>12/15 min [27685] (dis： -626，-2.21% ) (vol_wei_pr：99.18%)</v>
      </c>
    </row>
    <row r="118" spans="1:16" hidden="1" x14ac:dyDescent="0.25">
      <c r="A118" t="s">
        <v>31</v>
      </c>
      <c r="B118" s="10" t="s">
        <v>32</v>
      </c>
      <c r="C118" s="60">
        <v>27680.51</v>
      </c>
      <c r="D118" s="22">
        <v>-629.96000000000197</v>
      </c>
      <c r="E118" s="4">
        <v>-2.2251838277499499E-2</v>
      </c>
      <c r="F118" s="10">
        <v>16</v>
      </c>
      <c r="G118" s="3" t="s">
        <v>77</v>
      </c>
      <c r="H118" s="18">
        <v>45971</v>
      </c>
      <c r="I118" s="21" t="s">
        <v>19</v>
      </c>
      <c r="J118" s="12">
        <v>7491028505</v>
      </c>
      <c r="K118" s="13">
        <v>456040098.961896</v>
      </c>
      <c r="L118" s="4">
        <v>0.97959183673469297</v>
      </c>
      <c r="M118" s="12">
        <v>2558261625.5811701</v>
      </c>
      <c r="N118" s="13">
        <v>237276165.55855</v>
      </c>
      <c r="O118" s="4">
        <v>0.96734693877551003</v>
      </c>
      <c r="P118" s="3" t="str">
        <f t="shared" si="1"/>
        <v>11/10 min [27681] (dis： -630，-2.23% ) (vol_wei_pr：96.73%)</v>
      </c>
    </row>
    <row r="119" spans="1:16" hidden="1" x14ac:dyDescent="0.25">
      <c r="A119" t="s">
        <v>31</v>
      </c>
      <c r="B119" s="10" t="s">
        <v>32</v>
      </c>
      <c r="C119" s="60">
        <v>27674.16</v>
      </c>
      <c r="D119" s="22">
        <v>-636.31000000000097</v>
      </c>
      <c r="E119" s="4">
        <v>-2.2476136920369E-2</v>
      </c>
      <c r="F119" s="10">
        <v>15</v>
      </c>
      <c r="G119" s="3" t="s">
        <v>78</v>
      </c>
      <c r="H119" s="18">
        <v>45992</v>
      </c>
      <c r="I119" s="21" t="s">
        <v>17</v>
      </c>
      <c r="J119" s="12">
        <v>7418235597</v>
      </c>
      <c r="K119" s="13">
        <v>430765017.967902</v>
      </c>
      <c r="L119" s="4">
        <v>0.95306122448979502</v>
      </c>
      <c r="M119" s="12">
        <v>4260657513.6271701</v>
      </c>
      <c r="N119" s="13">
        <v>228644471.02591899</v>
      </c>
      <c r="O119" s="4">
        <v>0.95306122448979502</v>
      </c>
      <c r="P119" s="3" t="str">
        <f t="shared" si="1"/>
        <v>12/01 open [27674] (dis： -636，-2.25% ) (vol_wei_pr：95.31%)</v>
      </c>
    </row>
    <row r="120" spans="1:16" hidden="1" x14ac:dyDescent="0.25">
      <c r="A120" t="s">
        <v>31</v>
      </c>
      <c r="B120" s="10" t="s">
        <v>32</v>
      </c>
      <c r="C120" s="60">
        <v>27672.05</v>
      </c>
      <c r="D120" s="22">
        <v>-638.42000000000098</v>
      </c>
      <c r="E120" s="4">
        <v>-2.2550667650519399E-2</v>
      </c>
      <c r="F120" s="10">
        <v>15</v>
      </c>
      <c r="G120" s="3" t="s">
        <v>78</v>
      </c>
      <c r="H120" s="18">
        <v>46010</v>
      </c>
      <c r="I120" s="21" t="s">
        <v>19</v>
      </c>
      <c r="J120" s="12">
        <v>9145168124</v>
      </c>
      <c r="K120" s="13">
        <v>430765017.967902</v>
      </c>
      <c r="L120" s="4">
        <v>0.95306122448979502</v>
      </c>
      <c r="M120" s="12">
        <v>8532743572.8427696</v>
      </c>
      <c r="N120" s="13">
        <v>228644471.02591899</v>
      </c>
      <c r="O120" s="4">
        <v>0.95306122448979502</v>
      </c>
      <c r="P120" s="3" t="str">
        <f t="shared" si="1"/>
        <v>12/19 min [27672] (dis： -638，-2.26% ) (vol_wei_pr：95.31%)</v>
      </c>
    </row>
    <row r="121" spans="1:16" hidden="1" x14ac:dyDescent="0.25">
      <c r="A121" t="s">
        <v>31</v>
      </c>
      <c r="B121" s="10" t="s">
        <v>32</v>
      </c>
      <c r="C121" s="61">
        <v>27659.06</v>
      </c>
      <c r="D121" s="27">
        <v>-651.40999999999894</v>
      </c>
      <c r="E121" s="7">
        <v>-2.3009508496326599E-2</v>
      </c>
      <c r="F121" s="28">
        <v>15</v>
      </c>
      <c r="G121" s="29" t="s">
        <v>79</v>
      </c>
      <c r="H121" s="30">
        <v>45988</v>
      </c>
      <c r="I121" s="31" t="s">
        <v>15</v>
      </c>
      <c r="J121" s="32">
        <v>7539156843</v>
      </c>
      <c r="K121" s="33">
        <v>418402651.11982101</v>
      </c>
      <c r="L121" s="7">
        <v>0.93061224489795902</v>
      </c>
      <c r="M121" s="32">
        <v>4040134117.1131401</v>
      </c>
      <c r="N121" s="33">
        <v>203651315.55236101</v>
      </c>
      <c r="O121" s="34">
        <v>0.88163265306122396</v>
      </c>
      <c r="P121" s="3" t="str">
        <f t="shared" si="1"/>
        <v>11/27 max [27659] (dis： -651，-2.30% ) (vol_wei_pr：88.16%)</v>
      </c>
    </row>
    <row r="122" spans="1:16" hidden="1" x14ac:dyDescent="0.25">
      <c r="A122" t="s">
        <v>31</v>
      </c>
      <c r="B122" s="10" t="s">
        <v>32</v>
      </c>
      <c r="C122" s="62">
        <v>27651.41</v>
      </c>
      <c r="D122" s="35">
        <v>-659.06000000000097</v>
      </c>
      <c r="E122" s="9">
        <v>-2.3279726546397799E-2</v>
      </c>
      <c r="F122" s="36">
        <v>15</v>
      </c>
      <c r="G122" s="37" t="s">
        <v>79</v>
      </c>
      <c r="H122" s="38">
        <v>45968</v>
      </c>
      <c r="I122" s="39" t="s">
        <v>16</v>
      </c>
      <c r="J122" s="40">
        <v>7878592276</v>
      </c>
      <c r="K122" s="41">
        <v>418402651.11982101</v>
      </c>
      <c r="L122" s="9">
        <v>0.93061224489795902</v>
      </c>
      <c r="M122" s="40">
        <v>2598966208.4840498</v>
      </c>
      <c r="N122" s="41">
        <v>203651315.55236101</v>
      </c>
      <c r="O122" s="42">
        <v>0.88163265306122396</v>
      </c>
      <c r="P122" s="3" t="str">
        <f t="shared" si="1"/>
        <v>11/07 close [27651] (dis： -659，-2.33% ) (vol_wei_pr：88.16%)</v>
      </c>
    </row>
    <row r="123" spans="1:16" hidden="1" x14ac:dyDescent="0.25">
      <c r="A123" t="s">
        <v>31</v>
      </c>
      <c r="B123" s="10" t="s">
        <v>32</v>
      </c>
      <c r="C123" s="62">
        <v>27648.91</v>
      </c>
      <c r="D123" s="35">
        <v>-661.56000000000097</v>
      </c>
      <c r="E123" s="9">
        <v>-2.3368033098708701E-2</v>
      </c>
      <c r="F123" s="36">
        <v>15</v>
      </c>
      <c r="G123" s="37" t="s">
        <v>79</v>
      </c>
      <c r="H123" s="38">
        <v>45952</v>
      </c>
      <c r="I123" s="39" t="s">
        <v>16</v>
      </c>
      <c r="J123" s="40">
        <v>7835590935</v>
      </c>
      <c r="K123" s="41">
        <v>418402651.11982101</v>
      </c>
      <c r="L123" s="9">
        <v>0.93061224489795902</v>
      </c>
      <c r="M123" s="40">
        <v>1765457488.74949</v>
      </c>
      <c r="N123" s="41">
        <v>203651315.55236101</v>
      </c>
      <c r="O123" s="42">
        <v>0.88163265306122396</v>
      </c>
      <c r="P123" s="3" t="str">
        <f t="shared" si="1"/>
        <v>10/22 close [27649] (dis： -662，-2.34% ) (vol_wei_pr：88.16%)</v>
      </c>
    </row>
    <row r="124" spans="1:16" hidden="1" x14ac:dyDescent="0.25">
      <c r="A124" t="s">
        <v>31</v>
      </c>
      <c r="B124" s="10" t="s">
        <v>32</v>
      </c>
      <c r="C124" s="62">
        <v>27647.87</v>
      </c>
      <c r="D124" s="35">
        <v>-662.60000000000196</v>
      </c>
      <c r="E124" s="9">
        <v>-2.34047686244701E-2</v>
      </c>
      <c r="F124" s="36">
        <v>15</v>
      </c>
      <c r="G124" s="37" t="s">
        <v>79</v>
      </c>
      <c r="H124" s="38">
        <v>45946</v>
      </c>
      <c r="I124" s="39" t="s">
        <v>16</v>
      </c>
      <c r="J124" s="40">
        <v>9035460141</v>
      </c>
      <c r="K124" s="41">
        <v>418402651.11982101</v>
      </c>
      <c r="L124" s="9">
        <v>0.93061224489795902</v>
      </c>
      <c r="M124" s="40">
        <v>1772269585.9521301</v>
      </c>
      <c r="N124" s="41">
        <v>203651315.55236101</v>
      </c>
      <c r="O124" s="42">
        <v>0.88163265306122396</v>
      </c>
      <c r="P124" s="3" t="str">
        <f t="shared" si="1"/>
        <v>10/16 close [27648] (dis： -663，-2.34% ) (vol_wei_pr：88.16%)</v>
      </c>
    </row>
    <row r="125" spans="1:16" ht="17.25" hidden="1" thickBot="1" x14ac:dyDescent="0.3">
      <c r="A125" t="s">
        <v>31</v>
      </c>
      <c r="B125" s="10" t="s">
        <v>32</v>
      </c>
      <c r="C125" s="64">
        <v>27636.63</v>
      </c>
      <c r="D125" s="43">
        <v>-673.84</v>
      </c>
      <c r="E125" s="8">
        <v>-2.3801794883659601E-2</v>
      </c>
      <c r="F125" s="44">
        <v>15</v>
      </c>
      <c r="G125" s="45" t="s">
        <v>79</v>
      </c>
      <c r="H125" s="46">
        <v>45995</v>
      </c>
      <c r="I125" s="47" t="s">
        <v>19</v>
      </c>
      <c r="J125" s="48">
        <v>6475222009</v>
      </c>
      <c r="K125" s="49">
        <v>418402651.11982101</v>
      </c>
      <c r="L125" s="8">
        <v>0.93061224489795902</v>
      </c>
      <c r="M125" s="48">
        <v>4126531512.9112601</v>
      </c>
      <c r="N125" s="49">
        <v>203651315.55236101</v>
      </c>
      <c r="O125" s="50">
        <v>0.88163265306122396</v>
      </c>
      <c r="P125" s="3" t="str">
        <f t="shared" si="1"/>
        <v>12/04 min [27637] (dis： -674，-2.38% ) (vol_wei_pr：88.16%)</v>
      </c>
    </row>
    <row r="126" spans="1:16" hidden="1" x14ac:dyDescent="0.25">
      <c r="A126" t="s">
        <v>31</v>
      </c>
      <c r="B126" s="10" t="s">
        <v>32</v>
      </c>
      <c r="C126" s="60">
        <v>27626.48</v>
      </c>
      <c r="D126" s="22">
        <v>-683.99000000000103</v>
      </c>
      <c r="E126" s="4">
        <v>-2.4160319486041699E-2</v>
      </c>
      <c r="F126" s="10">
        <v>14</v>
      </c>
      <c r="G126" s="3" t="s">
        <v>80</v>
      </c>
      <c r="H126" s="18">
        <v>45989</v>
      </c>
      <c r="I126" s="21" t="s">
        <v>16</v>
      </c>
      <c r="J126" s="12">
        <v>7671742311</v>
      </c>
      <c r="K126" s="13">
        <v>391821279.98271102</v>
      </c>
      <c r="L126" s="4">
        <v>0.85918367346938695</v>
      </c>
      <c r="M126" s="12">
        <v>4256165532.9284101</v>
      </c>
      <c r="N126" s="13">
        <v>186711531.016601</v>
      </c>
      <c r="O126" s="4">
        <v>0.81020408163265301</v>
      </c>
      <c r="P126" s="3" t="str">
        <f t="shared" si="1"/>
        <v>11/28 close [27626] (dis： -684，-2.42% ) (vol_wei_pr：81.02%)</v>
      </c>
    </row>
    <row r="127" spans="1:16" hidden="1" x14ac:dyDescent="0.25">
      <c r="A127" t="s">
        <v>31</v>
      </c>
      <c r="B127" s="10" t="s">
        <v>32</v>
      </c>
      <c r="C127" s="60">
        <v>27621.48</v>
      </c>
      <c r="D127" s="22">
        <v>-688.99000000000103</v>
      </c>
      <c r="E127" s="4">
        <v>-2.4336932590663499E-2</v>
      </c>
      <c r="F127" s="10">
        <v>14</v>
      </c>
      <c r="G127" s="3" t="s">
        <v>80</v>
      </c>
      <c r="H127" s="18">
        <v>45968</v>
      </c>
      <c r="I127" s="21" t="s">
        <v>19</v>
      </c>
      <c r="J127" s="12">
        <v>7878592276</v>
      </c>
      <c r="K127" s="13">
        <v>391821279.98271102</v>
      </c>
      <c r="L127" s="4">
        <v>0.85918367346938695</v>
      </c>
      <c r="M127" s="12">
        <v>2598966208.4840498</v>
      </c>
      <c r="N127" s="13">
        <v>186711531.016601</v>
      </c>
      <c r="O127" s="4">
        <v>0.81020408163265301</v>
      </c>
      <c r="P127" s="3" t="str">
        <f t="shared" si="1"/>
        <v>11/07 min [27621] (dis： -689，-2.43% ) (vol_wei_pr：81.02%)</v>
      </c>
    </row>
    <row r="128" spans="1:16" hidden="1" x14ac:dyDescent="0.25">
      <c r="A128" t="s">
        <v>31</v>
      </c>
      <c r="B128" s="10" t="s">
        <v>32</v>
      </c>
      <c r="C128" s="60">
        <v>27614.11</v>
      </c>
      <c r="D128" s="22">
        <v>-696.36</v>
      </c>
      <c r="E128" s="4">
        <v>-2.4597260306875798E-2</v>
      </c>
      <c r="F128" s="10">
        <v>13</v>
      </c>
      <c r="G128" s="3" t="s">
        <v>81</v>
      </c>
      <c r="H128" s="18">
        <v>45952</v>
      </c>
      <c r="I128" s="21" t="s">
        <v>17</v>
      </c>
      <c r="J128" s="12">
        <v>7835590935</v>
      </c>
      <c r="K128" s="13">
        <v>351840602.64586002</v>
      </c>
      <c r="L128" s="4">
        <v>0.74693877551020404</v>
      </c>
      <c r="M128" s="12">
        <v>1765457488.74949</v>
      </c>
      <c r="N128" s="13">
        <v>173522826.01059201</v>
      </c>
      <c r="O128" s="4">
        <v>0.69795918367346899</v>
      </c>
      <c r="P128" s="3" t="str">
        <f t="shared" si="1"/>
        <v>10/22 open [27614] (dis： -696，-2.46% ) (vol_wei_pr：69.80%)</v>
      </c>
    </row>
    <row r="129" spans="1:16" hidden="1" x14ac:dyDescent="0.25">
      <c r="A129" t="s">
        <v>31</v>
      </c>
      <c r="B129" s="10" t="s">
        <v>32</v>
      </c>
      <c r="C129" s="60">
        <v>27605.63</v>
      </c>
      <c r="D129" s="22">
        <v>-704.84</v>
      </c>
      <c r="E129" s="4">
        <v>-2.4896796132314301E-2</v>
      </c>
      <c r="F129" s="10">
        <v>13</v>
      </c>
      <c r="G129" s="3" t="s">
        <v>81</v>
      </c>
      <c r="H129" s="18">
        <v>45994</v>
      </c>
      <c r="I129" s="21" t="s">
        <v>17</v>
      </c>
      <c r="J129" s="12">
        <v>6838633055</v>
      </c>
      <c r="K129" s="13">
        <v>351840602.64586002</v>
      </c>
      <c r="L129" s="4">
        <v>0.74693877551020404</v>
      </c>
      <c r="M129" s="12">
        <v>4209672440.2895598</v>
      </c>
      <c r="N129" s="13">
        <v>173522826.01059201</v>
      </c>
      <c r="O129" s="4">
        <v>0.69795918367346899</v>
      </c>
      <c r="P129" s="3" t="str">
        <f t="shared" si="1"/>
        <v>12/03 open [27606] (dis： -705，-2.49% ) (vol_wei_pr：69.80%)</v>
      </c>
    </row>
    <row r="130" spans="1:16" hidden="1" x14ac:dyDescent="0.25">
      <c r="A130" t="s">
        <v>31</v>
      </c>
      <c r="B130" s="10" t="s">
        <v>32</v>
      </c>
      <c r="C130" s="60">
        <v>27605.63</v>
      </c>
      <c r="D130" s="22">
        <v>-704.84</v>
      </c>
      <c r="E130" s="4">
        <v>-2.4896796132314301E-2</v>
      </c>
      <c r="F130" s="10">
        <v>13</v>
      </c>
      <c r="G130" s="3" t="s">
        <v>81</v>
      </c>
      <c r="H130" s="18">
        <v>45994</v>
      </c>
      <c r="I130" s="21" t="s">
        <v>19</v>
      </c>
      <c r="J130" s="12">
        <v>6838633055</v>
      </c>
      <c r="K130" s="13">
        <v>351840602.64586002</v>
      </c>
      <c r="L130" s="4">
        <v>0.74693877551020404</v>
      </c>
      <c r="M130" s="12">
        <v>4209672440.2895598</v>
      </c>
      <c r="N130" s="13">
        <v>173522826.01059201</v>
      </c>
      <c r="O130" s="4">
        <v>0.69795918367346899</v>
      </c>
      <c r="P130" s="3" t="str">
        <f t="shared" si="1"/>
        <v>12/03 min [27606] (dis： -705，-2.49% ) (vol_wei_pr：69.80%)</v>
      </c>
    </row>
    <row r="131" spans="1:16" hidden="1" x14ac:dyDescent="0.25">
      <c r="A131" t="s">
        <v>31</v>
      </c>
      <c r="B131" s="10" t="s">
        <v>32</v>
      </c>
      <c r="C131" s="60">
        <v>27600.74</v>
      </c>
      <c r="D131" s="22">
        <v>-709.729999999999</v>
      </c>
      <c r="E131" s="4">
        <v>-2.50695237486343E-2</v>
      </c>
      <c r="F131" s="10">
        <v>12</v>
      </c>
      <c r="G131" s="3" t="s">
        <v>82</v>
      </c>
      <c r="H131" s="18">
        <v>45978</v>
      </c>
      <c r="I131" s="21" t="s">
        <v>17</v>
      </c>
      <c r="J131" s="12">
        <v>8604107358</v>
      </c>
      <c r="K131" s="13">
        <v>323586458.475474</v>
      </c>
      <c r="L131" s="4">
        <v>0.61836734693877504</v>
      </c>
      <c r="M131" s="12">
        <v>3494353410.0208998</v>
      </c>
      <c r="N131" s="13">
        <v>156130360.135986</v>
      </c>
      <c r="O131" s="4">
        <v>0.59795918367346901</v>
      </c>
      <c r="P131" s="3" t="str">
        <f t="shared" ref="P131:P194" si="2">TEXT(H131,"MM/DD")&amp;" "&amp;I131&amp;" ["&amp;TEXT(C131,"0")&amp;"] (dis： "&amp;TEXT(D131,"0")&amp;"，"&amp;TEXT(E131,"0.00%")&amp;" ) (vol_wei_pr："&amp;TEXT(O131,"0.00%")&amp;")"</f>
        <v>11/17 open [27601] (dis： -710，-2.51% ) (vol_wei_pr：59.80%)</v>
      </c>
    </row>
    <row r="132" spans="1:16" hidden="1" x14ac:dyDescent="0.25">
      <c r="A132" t="s">
        <v>31</v>
      </c>
      <c r="B132" s="10" t="s">
        <v>32</v>
      </c>
      <c r="C132" s="60">
        <v>27596.18</v>
      </c>
      <c r="D132" s="22">
        <v>-714.29</v>
      </c>
      <c r="E132" s="4">
        <v>-2.5230594900049301E-2</v>
      </c>
      <c r="F132" s="10">
        <v>12</v>
      </c>
      <c r="G132" s="3" t="s">
        <v>82</v>
      </c>
      <c r="H132" s="18">
        <v>46008</v>
      </c>
      <c r="I132" s="21" t="s">
        <v>17</v>
      </c>
      <c r="J132" s="12">
        <v>9020647323</v>
      </c>
      <c r="K132" s="13">
        <v>323586458.475474</v>
      </c>
      <c r="L132" s="4">
        <v>0.61836734693877504</v>
      </c>
      <c r="M132" s="12">
        <v>7852929608.3333197</v>
      </c>
      <c r="N132" s="13">
        <v>156130360.135986</v>
      </c>
      <c r="O132" s="4">
        <v>0.59795918367346901</v>
      </c>
      <c r="P132" s="3" t="str">
        <f t="shared" si="2"/>
        <v>12/17 open [27596] (dis： -714，-2.52% ) (vol_wei_pr：59.80%)</v>
      </c>
    </row>
    <row r="133" spans="1:16" hidden="1" x14ac:dyDescent="0.25">
      <c r="A133" t="s">
        <v>31</v>
      </c>
      <c r="B133" s="10" t="s">
        <v>32</v>
      </c>
      <c r="C133" s="60">
        <v>27586.85</v>
      </c>
      <c r="D133" s="22">
        <v>-723.62000000000205</v>
      </c>
      <c r="E133" s="4">
        <v>-2.55601549532735E-2</v>
      </c>
      <c r="F133" s="10">
        <v>13</v>
      </c>
      <c r="G133" s="3" t="s">
        <v>83</v>
      </c>
      <c r="H133" s="18">
        <v>45953</v>
      </c>
      <c r="I133" s="21" t="s">
        <v>15</v>
      </c>
      <c r="J133" s="12">
        <v>7318554768</v>
      </c>
      <c r="K133" s="13">
        <v>357597773.50475198</v>
      </c>
      <c r="L133" s="4">
        <v>0.76326530612244903</v>
      </c>
      <c r="M133" s="12">
        <v>1707113262.22825</v>
      </c>
      <c r="N133" s="13">
        <v>164063779.88795301</v>
      </c>
      <c r="O133" s="4">
        <v>0.63673469387755099</v>
      </c>
      <c r="P133" s="3" t="str">
        <f t="shared" si="2"/>
        <v>10/23 max [27587] (dis： -724，-2.56% ) (vol_wei_pr：63.67%)</v>
      </c>
    </row>
    <row r="134" spans="1:16" hidden="1" x14ac:dyDescent="0.25">
      <c r="A134" t="s">
        <v>31</v>
      </c>
      <c r="B134" s="10" t="s">
        <v>32</v>
      </c>
      <c r="C134" s="61">
        <v>27569.439999999999</v>
      </c>
      <c r="D134" s="27">
        <v>-741.03000000000202</v>
      </c>
      <c r="E134" s="7">
        <v>-2.6175121783566301E-2</v>
      </c>
      <c r="F134" s="28">
        <v>14</v>
      </c>
      <c r="G134" s="29" t="s">
        <v>84</v>
      </c>
      <c r="H134" s="30">
        <v>46009</v>
      </c>
      <c r="I134" s="31" t="s">
        <v>15</v>
      </c>
      <c r="J134" s="32">
        <v>8450315748</v>
      </c>
      <c r="K134" s="33">
        <v>396241921.06957603</v>
      </c>
      <c r="L134" s="7">
        <v>0.87755102040816302</v>
      </c>
      <c r="M134" s="32">
        <v>7615850977.0925798</v>
      </c>
      <c r="N134" s="33">
        <v>198891835.757952</v>
      </c>
      <c r="O134" s="34">
        <v>0.85714285714285698</v>
      </c>
      <c r="P134" s="3" t="str">
        <f t="shared" si="2"/>
        <v>12/18 max [27569] (dis： -741，-2.62% ) (vol_wei_pr：85.71%)</v>
      </c>
    </row>
    <row r="135" spans="1:16" hidden="1" x14ac:dyDescent="0.25">
      <c r="A135" t="s">
        <v>31</v>
      </c>
      <c r="B135" s="10" t="s">
        <v>32</v>
      </c>
      <c r="C135" s="62">
        <v>27566.12</v>
      </c>
      <c r="D135" s="35">
        <v>-744.35000000000196</v>
      </c>
      <c r="E135" s="9">
        <v>-2.6292392885035099E-2</v>
      </c>
      <c r="F135" s="36">
        <v>14</v>
      </c>
      <c r="G135" s="37" t="s">
        <v>84</v>
      </c>
      <c r="H135" s="38">
        <v>45989</v>
      </c>
      <c r="I135" s="39" t="s">
        <v>17</v>
      </c>
      <c r="J135" s="40">
        <v>7671742311</v>
      </c>
      <c r="K135" s="41">
        <v>396241921.06957603</v>
      </c>
      <c r="L135" s="9">
        <v>0.87755102040816302</v>
      </c>
      <c r="M135" s="40">
        <v>4256165532.9284101</v>
      </c>
      <c r="N135" s="41">
        <v>198891835.757952</v>
      </c>
      <c r="O135" s="42">
        <v>0.85714285714285698</v>
      </c>
      <c r="P135" s="3" t="str">
        <f t="shared" si="2"/>
        <v>11/28 open [27566] (dis： -744，-2.63% ) (vol_wei_pr：85.71%)</v>
      </c>
    </row>
    <row r="136" spans="1:16" ht="17.25" hidden="1" thickBot="1" x14ac:dyDescent="0.3">
      <c r="A136" t="s">
        <v>31</v>
      </c>
      <c r="B136" s="10" t="s">
        <v>32</v>
      </c>
      <c r="C136" s="64">
        <v>27566.12</v>
      </c>
      <c r="D136" s="43">
        <v>-744.35000000000196</v>
      </c>
      <c r="E136" s="8">
        <v>-2.6292392885035099E-2</v>
      </c>
      <c r="F136" s="44">
        <v>14</v>
      </c>
      <c r="G136" s="45" t="s">
        <v>84</v>
      </c>
      <c r="H136" s="46">
        <v>45989</v>
      </c>
      <c r="I136" s="47" t="s">
        <v>19</v>
      </c>
      <c r="J136" s="48">
        <v>7671742311</v>
      </c>
      <c r="K136" s="49">
        <v>396241921.06957603</v>
      </c>
      <c r="L136" s="8">
        <v>0.87755102040816302</v>
      </c>
      <c r="M136" s="48">
        <v>4256165532.9284101</v>
      </c>
      <c r="N136" s="49">
        <v>198891835.757952</v>
      </c>
      <c r="O136" s="50">
        <v>0.85714285714285698</v>
      </c>
      <c r="P136" s="3" t="str">
        <f t="shared" si="2"/>
        <v>11/28 min [27566] (dis： -744，-2.63% ) (vol_wei_pr：85.71%)</v>
      </c>
    </row>
    <row r="137" spans="1:16" hidden="1" x14ac:dyDescent="0.25">
      <c r="A137" t="s">
        <v>31</v>
      </c>
      <c r="B137" s="10" t="s">
        <v>32</v>
      </c>
      <c r="C137" s="61">
        <v>27564.27</v>
      </c>
      <c r="D137" s="27">
        <v>-746.2</v>
      </c>
      <c r="E137" s="7">
        <v>-2.6357739733745101E-2</v>
      </c>
      <c r="F137" s="28">
        <v>13</v>
      </c>
      <c r="G137" s="29" t="s">
        <v>85</v>
      </c>
      <c r="H137" s="30">
        <v>45993</v>
      </c>
      <c r="I137" s="31" t="s">
        <v>16</v>
      </c>
      <c r="J137" s="32">
        <v>7321099919</v>
      </c>
      <c r="K137" s="33">
        <v>362999255.71296</v>
      </c>
      <c r="L137" s="7">
        <v>0.79591836734693799</v>
      </c>
      <c r="M137" s="32">
        <v>4353152056.6603203</v>
      </c>
      <c r="N137" s="33">
        <v>180449312.433018</v>
      </c>
      <c r="O137" s="34">
        <v>0.75102040816326499</v>
      </c>
      <c r="P137" s="3" t="str">
        <f t="shared" si="2"/>
        <v>12/02 close [27564] (dis： -746，-2.64% ) (vol_wei_pr：75.10%)</v>
      </c>
    </row>
    <row r="138" spans="1:16" hidden="1" x14ac:dyDescent="0.25">
      <c r="A138" t="s">
        <v>31</v>
      </c>
      <c r="B138" s="10" t="s">
        <v>32</v>
      </c>
      <c r="C138" s="62">
        <v>27554.53</v>
      </c>
      <c r="D138" s="35">
        <v>-755.94000000000199</v>
      </c>
      <c r="E138" s="9">
        <v>-2.6701782061548301E-2</v>
      </c>
      <c r="F138" s="36">
        <v>13</v>
      </c>
      <c r="G138" s="37" t="s">
        <v>85</v>
      </c>
      <c r="H138" s="38">
        <v>45988</v>
      </c>
      <c r="I138" s="39" t="s">
        <v>16</v>
      </c>
      <c r="J138" s="40">
        <v>7539156843</v>
      </c>
      <c r="K138" s="41">
        <v>362999255.71296</v>
      </c>
      <c r="L138" s="9">
        <v>0.79591836734693799</v>
      </c>
      <c r="M138" s="40">
        <v>4040134117.1131401</v>
      </c>
      <c r="N138" s="41">
        <v>180449312.433018</v>
      </c>
      <c r="O138" s="42">
        <v>0.75102040816326499</v>
      </c>
      <c r="P138" s="3" t="str">
        <f t="shared" si="2"/>
        <v>11/27 close [27555] (dis： -756，-2.67% ) (vol_wei_pr：75.10%)</v>
      </c>
    </row>
    <row r="139" spans="1:16" hidden="1" x14ac:dyDescent="0.25">
      <c r="A139" t="s">
        <v>31</v>
      </c>
      <c r="B139" s="10" t="s">
        <v>32</v>
      </c>
      <c r="C139" s="62">
        <v>27550.35</v>
      </c>
      <c r="D139" s="35">
        <v>-760.12000000000205</v>
      </c>
      <c r="E139" s="9">
        <v>-2.6849430617012102E-2</v>
      </c>
      <c r="F139" s="36">
        <v>13</v>
      </c>
      <c r="G139" s="37" t="s">
        <v>85</v>
      </c>
      <c r="H139" s="38">
        <v>45993</v>
      </c>
      <c r="I139" s="39" t="s">
        <v>17</v>
      </c>
      <c r="J139" s="40">
        <v>7321099919</v>
      </c>
      <c r="K139" s="41">
        <v>362999255.71296</v>
      </c>
      <c r="L139" s="9">
        <v>0.79591836734693799</v>
      </c>
      <c r="M139" s="40">
        <v>4353152056.6603203</v>
      </c>
      <c r="N139" s="41">
        <v>180449312.433018</v>
      </c>
      <c r="O139" s="42">
        <v>0.75102040816326499</v>
      </c>
      <c r="P139" s="3" t="str">
        <f t="shared" si="2"/>
        <v>12/02 open [27550] (dis： -760，-2.68% ) (vol_wei_pr：75.10%)</v>
      </c>
    </row>
    <row r="140" spans="1:16" hidden="1" x14ac:dyDescent="0.25">
      <c r="A140" t="s">
        <v>31</v>
      </c>
      <c r="B140" s="10" t="s">
        <v>32</v>
      </c>
      <c r="C140" s="62">
        <v>27536.66</v>
      </c>
      <c r="D140" s="35">
        <v>-773.81000000000097</v>
      </c>
      <c r="E140" s="9">
        <v>-2.7332997297466299E-2</v>
      </c>
      <c r="F140" s="36">
        <v>13</v>
      </c>
      <c r="G140" s="37" t="s">
        <v>85</v>
      </c>
      <c r="H140" s="38">
        <v>46007</v>
      </c>
      <c r="I140" s="39" t="s">
        <v>16</v>
      </c>
      <c r="J140" s="40">
        <v>9586999810</v>
      </c>
      <c r="K140" s="41">
        <v>362999255.71296</v>
      </c>
      <c r="L140" s="9">
        <v>0.79591836734693799</v>
      </c>
      <c r="M140" s="40">
        <v>8061673773.2670403</v>
      </c>
      <c r="N140" s="41">
        <v>180449312.433018</v>
      </c>
      <c r="O140" s="42">
        <v>0.75102040816326499</v>
      </c>
      <c r="P140" s="3" t="str">
        <f t="shared" si="2"/>
        <v>12/16 close [27537] (dis： -774，-2.73% ) (vol_wei_pr：75.10%)</v>
      </c>
    </row>
    <row r="141" spans="1:16" hidden="1" x14ac:dyDescent="0.25">
      <c r="A141" t="s">
        <v>31</v>
      </c>
      <c r="B141" s="10" t="s">
        <v>32</v>
      </c>
      <c r="C141" s="62">
        <v>27532.26</v>
      </c>
      <c r="D141" s="35">
        <v>-778.21000000000197</v>
      </c>
      <c r="E141" s="9">
        <v>-2.7488416829533398E-2</v>
      </c>
      <c r="F141" s="36">
        <v>13</v>
      </c>
      <c r="G141" s="37" t="s">
        <v>85</v>
      </c>
      <c r="H141" s="38">
        <v>45953</v>
      </c>
      <c r="I141" s="39" t="s">
        <v>16</v>
      </c>
      <c r="J141" s="40">
        <v>7318554768</v>
      </c>
      <c r="K141" s="41">
        <v>362999255.71296</v>
      </c>
      <c r="L141" s="9">
        <v>0.79591836734693799</v>
      </c>
      <c r="M141" s="40">
        <v>1707113262.22825</v>
      </c>
      <c r="N141" s="41">
        <v>180449312.433018</v>
      </c>
      <c r="O141" s="42">
        <v>0.75102040816326499</v>
      </c>
      <c r="P141" s="3" t="str">
        <f t="shared" si="2"/>
        <v>10/23 close [27532] (dis： -778，-2.75% ) (vol_wei_pr：75.10%)</v>
      </c>
    </row>
    <row r="142" spans="1:16" hidden="1" x14ac:dyDescent="0.25">
      <c r="A142" t="s">
        <v>31</v>
      </c>
      <c r="B142" s="10" t="s">
        <v>32</v>
      </c>
      <c r="C142" s="62">
        <v>27525.17</v>
      </c>
      <c r="D142" s="35">
        <v>-785.300000000002</v>
      </c>
      <c r="E142" s="9">
        <v>-2.7738854211887001E-2</v>
      </c>
      <c r="F142" s="36">
        <v>13</v>
      </c>
      <c r="G142" s="37" t="s">
        <v>85</v>
      </c>
      <c r="H142" s="38">
        <v>46008</v>
      </c>
      <c r="I142" s="39" t="s">
        <v>16</v>
      </c>
      <c r="J142" s="40">
        <v>9020647323</v>
      </c>
      <c r="K142" s="41">
        <v>362999255.71296</v>
      </c>
      <c r="L142" s="9">
        <v>0.79591836734693799</v>
      </c>
      <c r="M142" s="40">
        <v>7852929608.3333197</v>
      </c>
      <c r="N142" s="41">
        <v>180449312.433018</v>
      </c>
      <c r="O142" s="42">
        <v>0.75102040816326499</v>
      </c>
      <c r="P142" s="3" t="str">
        <f t="shared" si="2"/>
        <v>12/17 close [27525] (dis： -785，-2.77% ) (vol_wei_pr：75.10%)</v>
      </c>
    </row>
    <row r="143" spans="1:16" ht="17.25" hidden="1" thickBot="1" x14ac:dyDescent="0.3">
      <c r="A143" t="s">
        <v>31</v>
      </c>
      <c r="B143" s="10" t="s">
        <v>32</v>
      </c>
      <c r="C143" s="64">
        <v>27517.24</v>
      </c>
      <c r="D143" s="43">
        <v>-793.229999999999</v>
      </c>
      <c r="E143" s="8">
        <v>-2.8018962595817001E-2</v>
      </c>
      <c r="F143" s="44">
        <v>13</v>
      </c>
      <c r="G143" s="45" t="s">
        <v>85</v>
      </c>
      <c r="H143" s="46">
        <v>45988</v>
      </c>
      <c r="I143" s="47" t="s">
        <v>17</v>
      </c>
      <c r="J143" s="48">
        <v>7539156843</v>
      </c>
      <c r="K143" s="49">
        <v>362999255.71296</v>
      </c>
      <c r="L143" s="8">
        <v>0.79591836734693799</v>
      </c>
      <c r="M143" s="48">
        <v>4040134117.1131401</v>
      </c>
      <c r="N143" s="49">
        <v>180449312.433018</v>
      </c>
      <c r="O143" s="50">
        <v>0.75102040816326499</v>
      </c>
      <c r="P143" s="3" t="str">
        <f t="shared" si="2"/>
        <v>11/27 open [27517] (dis： -793，-2.80% ) (vol_wei_pr：75.10%)</v>
      </c>
    </row>
    <row r="144" spans="1:16" hidden="1" x14ac:dyDescent="0.25">
      <c r="A144" t="s">
        <v>31</v>
      </c>
      <c r="B144" s="10" t="s">
        <v>32</v>
      </c>
      <c r="C144" s="60">
        <v>27513.09</v>
      </c>
      <c r="D144" s="22">
        <v>-797.38000000000102</v>
      </c>
      <c r="E144" s="4">
        <v>-2.8165551472653001E-2</v>
      </c>
      <c r="F144" s="10">
        <v>14</v>
      </c>
      <c r="G144" s="3" t="s">
        <v>86</v>
      </c>
      <c r="H144" s="18">
        <v>45947</v>
      </c>
      <c r="I144" s="21" t="s">
        <v>15</v>
      </c>
      <c r="J144" s="12">
        <v>8962849575</v>
      </c>
      <c r="K144" s="13">
        <v>405533659.54268599</v>
      </c>
      <c r="L144" s="4">
        <v>0.90612244897959104</v>
      </c>
      <c r="M144" s="12">
        <v>1820024011.3685501</v>
      </c>
      <c r="N144" s="13">
        <v>189086480.29258701</v>
      </c>
      <c r="O144" s="4">
        <v>0.82857142857142796</v>
      </c>
      <c r="P144" s="3" t="str">
        <f t="shared" si="2"/>
        <v>10/17 max [27513] (dis： -797，-2.82% ) (vol_wei_pr：82.86%)</v>
      </c>
    </row>
    <row r="145" spans="1:16" hidden="1" x14ac:dyDescent="0.25">
      <c r="A145" t="s">
        <v>31</v>
      </c>
      <c r="B145" s="10" t="s">
        <v>32</v>
      </c>
      <c r="C145" s="60">
        <v>27507.16</v>
      </c>
      <c r="D145" s="22">
        <v>-803.31000000000097</v>
      </c>
      <c r="E145" s="4">
        <v>-2.8375014614734399E-2</v>
      </c>
      <c r="F145" s="10">
        <v>15</v>
      </c>
      <c r="G145" s="3" t="s">
        <v>87</v>
      </c>
      <c r="H145" s="18">
        <v>45944</v>
      </c>
      <c r="I145" s="21" t="s">
        <v>15</v>
      </c>
      <c r="J145" s="12">
        <v>12066540173</v>
      </c>
      <c r="K145" s="13">
        <v>421771770.39317697</v>
      </c>
      <c r="L145" s="4">
        <v>0.94285714285714195</v>
      </c>
      <c r="M145" s="12">
        <v>2208306108.35531</v>
      </c>
      <c r="N145" s="13">
        <v>192058228.52076</v>
      </c>
      <c r="O145" s="4">
        <v>0.83265306122448901</v>
      </c>
      <c r="P145" s="3" t="str">
        <f t="shared" si="2"/>
        <v>10/14 max [27507] (dis： -803，-2.84% ) (vol_wei_pr：83.27%)</v>
      </c>
    </row>
    <row r="146" spans="1:16" hidden="1" x14ac:dyDescent="0.25">
      <c r="A146" t="s">
        <v>31</v>
      </c>
      <c r="B146" s="10" t="s">
        <v>32</v>
      </c>
      <c r="C146" s="60">
        <v>27493.63</v>
      </c>
      <c r="D146" s="22">
        <v>-816.84</v>
      </c>
      <c r="E146" s="4">
        <v>-2.8852929675840699E-2</v>
      </c>
      <c r="F146" s="10">
        <v>16</v>
      </c>
      <c r="G146" s="3" t="s">
        <v>88</v>
      </c>
      <c r="H146" s="18">
        <v>45981</v>
      </c>
      <c r="I146" s="21" t="s">
        <v>15</v>
      </c>
      <c r="J146" s="12">
        <v>8497528679</v>
      </c>
      <c r="K146" s="13">
        <v>449130201.42666101</v>
      </c>
      <c r="L146" s="4">
        <v>0.96122448979591801</v>
      </c>
      <c r="M146" s="12">
        <v>3829200826.4987702</v>
      </c>
      <c r="N146" s="13">
        <v>204386627.833377</v>
      </c>
      <c r="O146" s="4">
        <v>0.89591836734693797</v>
      </c>
      <c r="P146" s="3" t="str">
        <f t="shared" si="2"/>
        <v>11/20 max [27494] (dis： -817，-2.89% ) (vol_wei_pr：89.59%)</v>
      </c>
    </row>
    <row r="147" spans="1:16" hidden="1" x14ac:dyDescent="0.25">
      <c r="A147" t="s">
        <v>31</v>
      </c>
      <c r="B147" s="10" t="s">
        <v>32</v>
      </c>
      <c r="C147" s="60">
        <v>27490.89</v>
      </c>
      <c r="D147" s="22">
        <v>-819.58000000000095</v>
      </c>
      <c r="E147" s="4">
        <v>-2.8949713657173502E-2</v>
      </c>
      <c r="F147" s="10">
        <v>16</v>
      </c>
      <c r="G147" s="3" t="s">
        <v>88</v>
      </c>
      <c r="H147" s="18">
        <v>45952</v>
      </c>
      <c r="I147" s="21" t="s">
        <v>19</v>
      </c>
      <c r="J147" s="12">
        <v>7835590935</v>
      </c>
      <c r="K147" s="13">
        <v>449130201.42666101</v>
      </c>
      <c r="L147" s="4">
        <v>0.96122448979591801</v>
      </c>
      <c r="M147" s="12">
        <v>1765457488.74949</v>
      </c>
      <c r="N147" s="13">
        <v>204386627.833377</v>
      </c>
      <c r="O147" s="4">
        <v>0.89591836734693797</v>
      </c>
      <c r="P147" s="3" t="str">
        <f t="shared" si="2"/>
        <v>10/22 min [27491] (dis： -820，-2.89% ) (vol_wei_pr：89.59%)</v>
      </c>
    </row>
    <row r="148" spans="1:16" hidden="1" x14ac:dyDescent="0.25">
      <c r="A148" t="s">
        <v>31</v>
      </c>
      <c r="B148" s="10" t="s">
        <v>32</v>
      </c>
      <c r="C148" s="61">
        <v>27481.021333333301</v>
      </c>
      <c r="D148" s="27">
        <v>-829.44866666666701</v>
      </c>
      <c r="E148" s="7">
        <v>-2.9298300828868799E-2</v>
      </c>
      <c r="F148" s="28">
        <v>15</v>
      </c>
      <c r="G148" s="29" t="s">
        <v>89</v>
      </c>
      <c r="H148" s="30">
        <v>46014</v>
      </c>
      <c r="I148" s="31" t="s">
        <v>23</v>
      </c>
      <c r="J148" s="32">
        <v>7965662925</v>
      </c>
      <c r="K148" s="33">
        <v>415778746.01251298</v>
      </c>
      <c r="L148" s="7">
        <v>0.91428571428571404</v>
      </c>
      <c r="M148" s="32">
        <v>7965662925</v>
      </c>
      <c r="N148" s="33">
        <v>196872124.17819101</v>
      </c>
      <c r="O148" s="34">
        <v>0.840816326530612</v>
      </c>
      <c r="P148" s="3" t="str">
        <f t="shared" si="2"/>
        <v>12/23 60MA [27481] (dis： -829，-2.93% ) (vol_wei_pr：84.08%)</v>
      </c>
    </row>
    <row r="149" spans="1:16" hidden="1" x14ac:dyDescent="0.25">
      <c r="A149" t="s">
        <v>31</v>
      </c>
      <c r="B149" s="10" t="s">
        <v>32</v>
      </c>
      <c r="C149" s="62">
        <v>27480.44</v>
      </c>
      <c r="D149" s="35">
        <v>-830.03000000000202</v>
      </c>
      <c r="E149" s="9">
        <v>-2.9318835045832901E-2</v>
      </c>
      <c r="F149" s="36">
        <v>15</v>
      </c>
      <c r="G149" s="37" t="s">
        <v>89</v>
      </c>
      <c r="H149" s="38">
        <v>45950</v>
      </c>
      <c r="I149" s="39" t="s">
        <v>17</v>
      </c>
      <c r="J149" s="40">
        <v>8045886081</v>
      </c>
      <c r="K149" s="41">
        <v>415778746.01251298</v>
      </c>
      <c r="L149" s="9">
        <v>0.91428571428571404</v>
      </c>
      <c r="M149" s="40">
        <v>1691439190.76316</v>
      </c>
      <c r="N149" s="41">
        <v>196872124.17819101</v>
      </c>
      <c r="O149" s="42">
        <v>0.840816326530612</v>
      </c>
      <c r="P149" s="3" t="str">
        <f t="shared" si="2"/>
        <v>10/20 open [27480] (dis： -830，-2.93% ) (vol_wei_pr：84.08%)</v>
      </c>
    </row>
    <row r="150" spans="1:16" ht="17.25" hidden="1" thickBot="1" x14ac:dyDescent="0.3">
      <c r="A150" t="s">
        <v>31</v>
      </c>
      <c r="B150" s="10" t="s">
        <v>32</v>
      </c>
      <c r="C150" s="64">
        <v>27477.1</v>
      </c>
      <c r="D150" s="43">
        <v>-833.37000000000205</v>
      </c>
      <c r="E150" s="8">
        <v>-2.94368125997202E-2</v>
      </c>
      <c r="F150" s="44">
        <v>15</v>
      </c>
      <c r="G150" s="45" t="s">
        <v>89</v>
      </c>
      <c r="H150" s="46">
        <v>45993</v>
      </c>
      <c r="I150" s="47" t="s">
        <v>19</v>
      </c>
      <c r="J150" s="48">
        <v>7321099919</v>
      </c>
      <c r="K150" s="49">
        <v>415778746.01251298</v>
      </c>
      <c r="L150" s="8">
        <v>0.91428571428571404</v>
      </c>
      <c r="M150" s="48">
        <v>4353152056.6603203</v>
      </c>
      <c r="N150" s="49">
        <v>196872124.17819101</v>
      </c>
      <c r="O150" s="50">
        <v>0.840816326530612</v>
      </c>
      <c r="P150" s="3" t="str">
        <f t="shared" si="2"/>
        <v>12/02 min [27477] (dis： -833，-2.94% ) (vol_wei_pr：84.08%)</v>
      </c>
    </row>
    <row r="151" spans="1:16" hidden="1" x14ac:dyDescent="0.25">
      <c r="A151" t="s">
        <v>31</v>
      </c>
      <c r="B151" s="10" t="s">
        <v>32</v>
      </c>
      <c r="C151" s="60">
        <v>27469.599999999999</v>
      </c>
      <c r="D151" s="22">
        <v>-840.87000000000205</v>
      </c>
      <c r="E151" s="4">
        <v>-2.9701732256652801E-2</v>
      </c>
      <c r="F151" s="10">
        <v>14</v>
      </c>
      <c r="G151" s="3" t="s">
        <v>90</v>
      </c>
      <c r="H151" s="18">
        <v>46008</v>
      </c>
      <c r="I151" s="21" t="s">
        <v>19</v>
      </c>
      <c r="J151" s="12">
        <v>9020647323</v>
      </c>
      <c r="K151" s="13">
        <v>388130043.57284403</v>
      </c>
      <c r="L151" s="4">
        <v>0.84897959183673399</v>
      </c>
      <c r="M151" s="12">
        <v>7852929608.3333197</v>
      </c>
      <c r="N151" s="13">
        <v>180432107.347267</v>
      </c>
      <c r="O151" s="4">
        <v>0.73469387755102</v>
      </c>
      <c r="P151" s="3" t="str">
        <f t="shared" si="2"/>
        <v>12/17 min [27470] (dis： -841，-2.97% ) (vol_wei_pr：73.47%)</v>
      </c>
    </row>
    <row r="152" spans="1:16" hidden="1" x14ac:dyDescent="0.25">
      <c r="A152" t="s">
        <v>31</v>
      </c>
      <c r="B152" s="10" t="s">
        <v>32</v>
      </c>
      <c r="C152" s="60">
        <v>27468.53</v>
      </c>
      <c r="D152" s="22">
        <v>-841.94000000000199</v>
      </c>
      <c r="E152" s="4">
        <v>-2.97395274610418E-2</v>
      </c>
      <c r="F152" s="10">
        <v>13</v>
      </c>
      <c r="G152" s="3" t="s">
        <v>91</v>
      </c>
      <c r="H152" s="18">
        <v>46009</v>
      </c>
      <c r="I152" s="21" t="s">
        <v>16</v>
      </c>
      <c r="J152" s="12">
        <v>8450315748</v>
      </c>
      <c r="K152" s="13">
        <v>359133138.101758</v>
      </c>
      <c r="L152" s="4">
        <v>0.77959183673469301</v>
      </c>
      <c r="M152" s="12">
        <v>7615850977.0925798</v>
      </c>
      <c r="N152" s="13">
        <v>155188834.955569</v>
      </c>
      <c r="O152" s="4">
        <v>0.575510204081632</v>
      </c>
      <c r="P152" s="3" t="str">
        <f t="shared" si="2"/>
        <v>12/18 close [27469] (dis： -842，-2.97% ) (vol_wei_pr：57.55%)</v>
      </c>
    </row>
    <row r="153" spans="1:16" hidden="1" x14ac:dyDescent="0.25">
      <c r="A153" t="s">
        <v>31</v>
      </c>
      <c r="B153" s="10" t="s">
        <v>32</v>
      </c>
      <c r="C153" s="60">
        <v>27463.119999999999</v>
      </c>
      <c r="D153" s="22">
        <v>-847.35000000000196</v>
      </c>
      <c r="E153" s="4">
        <v>-2.9930622840242501E-2</v>
      </c>
      <c r="F153" s="10">
        <v>14</v>
      </c>
      <c r="G153" s="3" t="s">
        <v>92</v>
      </c>
      <c r="H153" s="18">
        <v>45939</v>
      </c>
      <c r="I153" s="21" t="s">
        <v>15</v>
      </c>
      <c r="J153" s="12">
        <v>9444331803</v>
      </c>
      <c r="K153" s="13">
        <v>404095441.37716901</v>
      </c>
      <c r="L153" s="4">
        <v>0.893877551020408</v>
      </c>
      <c r="M153" s="12">
        <v>1612667180.13047</v>
      </c>
      <c r="N153" s="13">
        <v>162866374.49439499</v>
      </c>
      <c r="O153" s="4">
        <v>0.62040816326530601</v>
      </c>
      <c r="P153" s="3" t="str">
        <f t="shared" si="2"/>
        <v>10/09 max [27463] (dis： -847，-2.99% ) (vol_wei_pr：62.04%)</v>
      </c>
    </row>
    <row r="154" spans="1:16" hidden="1" x14ac:dyDescent="0.25">
      <c r="A154" t="s">
        <v>31</v>
      </c>
      <c r="B154" s="10" t="s">
        <v>32</v>
      </c>
      <c r="C154" s="60">
        <v>27457.07</v>
      </c>
      <c r="D154" s="22">
        <v>-853.400000000001</v>
      </c>
      <c r="E154" s="4">
        <v>-3.0144324696834798E-2</v>
      </c>
      <c r="F154" s="10">
        <v>14</v>
      </c>
      <c r="G154" s="3" t="s">
        <v>92</v>
      </c>
      <c r="H154" s="18">
        <v>45953</v>
      </c>
      <c r="I154" s="21" t="s">
        <v>17</v>
      </c>
      <c r="J154" s="12">
        <v>7318554768</v>
      </c>
      <c r="K154" s="13">
        <v>404095441.37716901</v>
      </c>
      <c r="L154" s="4">
        <v>0.893877551020408</v>
      </c>
      <c r="M154" s="12">
        <v>1707113262.22825</v>
      </c>
      <c r="N154" s="13">
        <v>162866374.49439499</v>
      </c>
      <c r="O154" s="4">
        <v>0.62040816326530601</v>
      </c>
      <c r="P154" s="3" t="str">
        <f t="shared" si="2"/>
        <v>10/23 open [27457] (dis： -853，-3.01% ) (vol_wei_pr：62.04%)</v>
      </c>
    </row>
    <row r="155" spans="1:16" hidden="1" x14ac:dyDescent="0.25">
      <c r="A155" t="s">
        <v>31</v>
      </c>
      <c r="B155" s="10" t="s">
        <v>32</v>
      </c>
      <c r="C155" s="60">
        <v>27447.45</v>
      </c>
      <c r="D155" s="22">
        <v>-863.02</v>
      </c>
      <c r="E155" s="4">
        <v>-3.0484128310126899E-2</v>
      </c>
      <c r="F155" s="10">
        <v>14</v>
      </c>
      <c r="G155" s="3" t="s">
        <v>92</v>
      </c>
      <c r="H155" s="18">
        <v>46009</v>
      </c>
      <c r="I155" s="21" t="s">
        <v>17</v>
      </c>
      <c r="J155" s="12">
        <v>8450315748</v>
      </c>
      <c r="K155" s="13">
        <v>404095441.37716901</v>
      </c>
      <c r="L155" s="4">
        <v>0.893877551020408</v>
      </c>
      <c r="M155" s="12">
        <v>7615850977.0925798</v>
      </c>
      <c r="N155" s="13">
        <v>162866374.49439499</v>
      </c>
      <c r="O155" s="4">
        <v>0.62040816326530601</v>
      </c>
      <c r="P155" s="3" t="str">
        <f t="shared" si="2"/>
        <v>12/18 open [27447] (dis： -863，-3.05% ) (vol_wei_pr：62.04%)</v>
      </c>
    </row>
    <row r="156" spans="1:16" hidden="1" x14ac:dyDescent="0.25">
      <c r="A156" t="s">
        <v>31</v>
      </c>
      <c r="B156" s="10" t="s">
        <v>32</v>
      </c>
      <c r="C156" s="60">
        <v>27447.31</v>
      </c>
      <c r="D156" s="22">
        <v>-863.15999999999894</v>
      </c>
      <c r="E156" s="4">
        <v>-3.0489073477056299E-2</v>
      </c>
      <c r="F156" s="10">
        <v>14</v>
      </c>
      <c r="G156" s="3" t="s">
        <v>92</v>
      </c>
      <c r="H156" s="18">
        <v>45978</v>
      </c>
      <c r="I156" s="21" t="s">
        <v>16</v>
      </c>
      <c r="J156" s="12">
        <v>8604107358</v>
      </c>
      <c r="K156" s="13">
        <v>404095441.37716901</v>
      </c>
      <c r="L156" s="4">
        <v>0.893877551020408</v>
      </c>
      <c r="M156" s="12">
        <v>3494353410.0208998</v>
      </c>
      <c r="N156" s="13">
        <v>162866374.49439499</v>
      </c>
      <c r="O156" s="4">
        <v>0.62040816326530601</v>
      </c>
      <c r="P156" s="3" t="str">
        <f t="shared" si="2"/>
        <v>11/17 close [27447] (dis： -863，-3.05% ) (vol_wei_pr：62.04%)</v>
      </c>
    </row>
    <row r="157" spans="1:16" hidden="1" x14ac:dyDescent="0.25">
      <c r="A157" t="s">
        <v>31</v>
      </c>
      <c r="B157" s="10" t="s">
        <v>32</v>
      </c>
      <c r="C157" s="60">
        <v>27447.31</v>
      </c>
      <c r="D157" s="22">
        <v>-863.15999999999894</v>
      </c>
      <c r="E157" s="4">
        <v>-3.0489073477056299E-2</v>
      </c>
      <c r="F157" s="10">
        <v>14</v>
      </c>
      <c r="G157" s="3" t="s">
        <v>92</v>
      </c>
      <c r="H157" s="18">
        <v>45978</v>
      </c>
      <c r="I157" s="21" t="s">
        <v>19</v>
      </c>
      <c r="J157" s="12">
        <v>8604107358</v>
      </c>
      <c r="K157" s="13">
        <v>404095441.37716901</v>
      </c>
      <c r="L157" s="4">
        <v>0.893877551020408</v>
      </c>
      <c r="M157" s="12">
        <v>3494353410.0208998</v>
      </c>
      <c r="N157" s="13">
        <v>162866374.49439499</v>
      </c>
      <c r="O157" s="4">
        <v>0.62040816326530601</v>
      </c>
      <c r="P157" s="3" t="str">
        <f t="shared" si="2"/>
        <v>11/17 min [27447] (dis： -863，-3.05% ) (vol_wei_pr：62.04%)</v>
      </c>
    </row>
    <row r="158" spans="1:16" hidden="1" x14ac:dyDescent="0.25">
      <c r="A158" t="s">
        <v>31</v>
      </c>
      <c r="B158" s="10" t="s">
        <v>32</v>
      </c>
      <c r="C158" s="60">
        <v>27436.59</v>
      </c>
      <c r="D158" s="22">
        <v>-873.88000000000102</v>
      </c>
      <c r="E158" s="4">
        <v>-3.0867731973365301E-2</v>
      </c>
      <c r="F158" s="10">
        <v>13</v>
      </c>
      <c r="G158" s="3" t="s">
        <v>93</v>
      </c>
      <c r="H158" s="18">
        <v>45988</v>
      </c>
      <c r="I158" s="21" t="s">
        <v>19</v>
      </c>
      <c r="J158" s="12">
        <v>7539156843</v>
      </c>
      <c r="K158" s="13">
        <v>372973010.07426798</v>
      </c>
      <c r="L158" s="4">
        <v>0.81632653061224403</v>
      </c>
      <c r="M158" s="12">
        <v>4040134117.1131401</v>
      </c>
      <c r="N158" s="13">
        <v>150226739.791289</v>
      </c>
      <c r="O158" s="4">
        <v>0.53877551020408099</v>
      </c>
      <c r="P158" s="3" t="str">
        <f t="shared" si="2"/>
        <v>11/27 min [27437] (dis： -874，-3.09% ) (vol_wei_pr：53.88%)</v>
      </c>
    </row>
    <row r="159" spans="1:16" hidden="1" x14ac:dyDescent="0.25">
      <c r="A159" t="s">
        <v>31</v>
      </c>
      <c r="B159" s="10" t="s">
        <v>32</v>
      </c>
      <c r="C159" s="60">
        <v>27426.36</v>
      </c>
      <c r="D159" s="22">
        <v>-884.11</v>
      </c>
      <c r="E159" s="4">
        <v>-3.1229082385421301E-2</v>
      </c>
      <c r="F159" s="10">
        <v>12</v>
      </c>
      <c r="G159" s="3" t="s">
        <v>94</v>
      </c>
      <c r="H159" s="18">
        <v>45981</v>
      </c>
      <c r="I159" s="21" t="s">
        <v>16</v>
      </c>
      <c r="J159" s="12">
        <v>8497528679</v>
      </c>
      <c r="K159" s="13">
        <v>339084589.86929703</v>
      </c>
      <c r="L159" s="4">
        <v>0.64693877551020396</v>
      </c>
      <c r="M159" s="12">
        <v>3829200826.4987702</v>
      </c>
      <c r="N159" s="13">
        <v>132066385.05980501</v>
      </c>
      <c r="O159" s="4">
        <v>0.44285714285714201</v>
      </c>
      <c r="P159" s="3" t="str">
        <f t="shared" si="2"/>
        <v>11/20 close [27426] (dis： -884，-3.12% ) (vol_wei_pr：44.29%)</v>
      </c>
    </row>
    <row r="160" spans="1:16" hidden="1" x14ac:dyDescent="0.25">
      <c r="A160" t="s">
        <v>31</v>
      </c>
      <c r="B160" s="10" t="s">
        <v>32</v>
      </c>
      <c r="C160" s="60">
        <v>27412.45</v>
      </c>
      <c r="D160" s="22">
        <v>-898.02</v>
      </c>
      <c r="E160" s="4">
        <v>-3.1720420042478999E-2</v>
      </c>
      <c r="F160" s="10">
        <v>12</v>
      </c>
      <c r="G160" s="3" t="s">
        <v>94</v>
      </c>
      <c r="H160" s="18">
        <v>45950</v>
      </c>
      <c r="I160" s="21" t="s">
        <v>19</v>
      </c>
      <c r="J160" s="12">
        <v>8045886081</v>
      </c>
      <c r="K160" s="13">
        <v>339084589.86929703</v>
      </c>
      <c r="L160" s="4">
        <v>0.64693877551020396</v>
      </c>
      <c r="M160" s="12">
        <v>1691439190.76316</v>
      </c>
      <c r="N160" s="13">
        <v>132066385.05980501</v>
      </c>
      <c r="O160" s="4">
        <v>0.44285714285714201</v>
      </c>
      <c r="P160" s="3" t="str">
        <f t="shared" si="2"/>
        <v>10/20 min [27412] (dis： -898，-3.17% ) (vol_wei_pr：44.29%)</v>
      </c>
    </row>
    <row r="161" spans="1:16" hidden="1" x14ac:dyDescent="0.25">
      <c r="A161" t="s">
        <v>31</v>
      </c>
      <c r="B161" s="10" t="s">
        <v>32</v>
      </c>
      <c r="C161" s="60">
        <v>27409.54</v>
      </c>
      <c r="D161" s="22">
        <v>-900.93</v>
      </c>
      <c r="E161" s="4">
        <v>-3.1823208869368798E-2</v>
      </c>
      <c r="F161" s="10">
        <v>12</v>
      </c>
      <c r="G161" s="3" t="s">
        <v>95</v>
      </c>
      <c r="H161" s="18">
        <v>45987</v>
      </c>
      <c r="I161" s="21" t="s">
        <v>16</v>
      </c>
      <c r="J161" s="12">
        <v>7902773415</v>
      </c>
      <c r="K161" s="13">
        <v>339288340.11124498</v>
      </c>
      <c r="L161" s="4">
        <v>0.66122448979591797</v>
      </c>
      <c r="M161" s="12">
        <v>4090732058.8078098</v>
      </c>
      <c r="N161" s="13">
        <v>139123043.372143</v>
      </c>
      <c r="O161" s="4">
        <v>0.473469387755102</v>
      </c>
      <c r="P161" s="3" t="str">
        <f t="shared" si="2"/>
        <v>11/26 close [27410] (dis： -901，-3.18% ) (vol_wei_pr：47.35%)</v>
      </c>
    </row>
    <row r="162" spans="1:16" hidden="1" x14ac:dyDescent="0.25">
      <c r="A162" t="s">
        <v>31</v>
      </c>
      <c r="B162" s="10" t="s">
        <v>32</v>
      </c>
      <c r="C162" s="60">
        <v>27409.54</v>
      </c>
      <c r="D162" s="22">
        <v>-900.93</v>
      </c>
      <c r="E162" s="4">
        <v>-3.1823208869368798E-2</v>
      </c>
      <c r="F162" s="10">
        <v>12</v>
      </c>
      <c r="G162" s="3" t="s">
        <v>95</v>
      </c>
      <c r="H162" s="18">
        <v>45987</v>
      </c>
      <c r="I162" s="21" t="s">
        <v>15</v>
      </c>
      <c r="J162" s="12">
        <v>7902773415</v>
      </c>
      <c r="K162" s="13">
        <v>339288340.11124498</v>
      </c>
      <c r="L162" s="4">
        <v>0.66122448979591797</v>
      </c>
      <c r="M162" s="12">
        <v>4090732058.8078098</v>
      </c>
      <c r="N162" s="13">
        <v>139123043.372143</v>
      </c>
      <c r="O162" s="4">
        <v>0.473469387755102</v>
      </c>
      <c r="P162" s="3" t="str">
        <f t="shared" si="2"/>
        <v>11/26 max [27410] (dis： -901，-3.18% ) (vol_wei_pr：47.35%)</v>
      </c>
    </row>
    <row r="163" spans="1:16" hidden="1" x14ac:dyDescent="0.25">
      <c r="A163" t="s">
        <v>31</v>
      </c>
      <c r="B163" s="10" t="s">
        <v>32</v>
      </c>
      <c r="C163" s="60">
        <v>27399.91</v>
      </c>
      <c r="D163" s="22">
        <v>-910.56000000000097</v>
      </c>
      <c r="E163" s="4">
        <v>-3.2163365708870198E-2</v>
      </c>
      <c r="F163" s="10">
        <v>12</v>
      </c>
      <c r="G163" s="3" t="s">
        <v>95</v>
      </c>
      <c r="H163" s="18">
        <v>45947</v>
      </c>
      <c r="I163" s="21" t="s">
        <v>17</v>
      </c>
      <c r="J163" s="12">
        <v>8962849575</v>
      </c>
      <c r="K163" s="13">
        <v>339288340.11124498</v>
      </c>
      <c r="L163" s="4">
        <v>0.66122448979591797</v>
      </c>
      <c r="M163" s="12">
        <v>1820024011.3685501</v>
      </c>
      <c r="N163" s="13">
        <v>139123043.372143</v>
      </c>
      <c r="O163" s="4">
        <v>0.473469387755102</v>
      </c>
      <c r="P163" s="3" t="str">
        <f t="shared" si="2"/>
        <v>10/17 open [27400] (dis： -911，-3.22% ) (vol_wei_pr：47.35%)</v>
      </c>
    </row>
    <row r="164" spans="1:16" hidden="1" x14ac:dyDescent="0.25">
      <c r="A164" t="s">
        <v>31</v>
      </c>
      <c r="B164" s="10" t="s">
        <v>32</v>
      </c>
      <c r="C164" s="60">
        <v>27397.5</v>
      </c>
      <c r="D164" s="22">
        <v>-912.97000000000105</v>
      </c>
      <c r="E164" s="4">
        <v>-3.2248493225297901E-2</v>
      </c>
      <c r="F164" s="10">
        <v>12</v>
      </c>
      <c r="G164" s="3" t="s">
        <v>95</v>
      </c>
      <c r="H164" s="18">
        <v>45975</v>
      </c>
      <c r="I164" s="21" t="s">
        <v>16</v>
      </c>
      <c r="J164" s="12">
        <v>9939352945</v>
      </c>
      <c r="K164" s="13">
        <v>339288340.11124498</v>
      </c>
      <c r="L164" s="4">
        <v>0.66122448979591797</v>
      </c>
      <c r="M164" s="12">
        <v>3899129132.01511</v>
      </c>
      <c r="N164" s="13">
        <v>139123043.372143</v>
      </c>
      <c r="O164" s="4">
        <v>0.473469387755102</v>
      </c>
      <c r="P164" s="3" t="str">
        <f t="shared" si="2"/>
        <v>11/14 close [27398] (dis： -913，-3.22% ) (vol_wei_pr：47.35%)</v>
      </c>
    </row>
    <row r="165" spans="1:16" hidden="1" x14ac:dyDescent="0.25">
      <c r="A165" t="s">
        <v>31</v>
      </c>
      <c r="B165" s="10" t="s">
        <v>32</v>
      </c>
      <c r="C165" s="60">
        <v>27383.34</v>
      </c>
      <c r="D165" s="22">
        <v>-927.13000000000102</v>
      </c>
      <c r="E165" s="4">
        <v>-3.2748661537586599E-2</v>
      </c>
      <c r="F165" s="10">
        <v>12</v>
      </c>
      <c r="G165" s="3" t="s">
        <v>95</v>
      </c>
      <c r="H165" s="18">
        <v>45975</v>
      </c>
      <c r="I165" s="21" t="s">
        <v>19</v>
      </c>
      <c r="J165" s="12">
        <v>9939352945</v>
      </c>
      <c r="K165" s="13">
        <v>339288340.11124498</v>
      </c>
      <c r="L165" s="4">
        <v>0.66122448979591797</v>
      </c>
      <c r="M165" s="12">
        <v>3899129132.01511</v>
      </c>
      <c r="N165" s="13">
        <v>139123043.372143</v>
      </c>
      <c r="O165" s="4">
        <v>0.473469387755102</v>
      </c>
      <c r="P165" s="3" t="str">
        <f t="shared" si="2"/>
        <v>11/14 min [27383] (dis： -927，-3.27% ) (vol_wei_pr：47.35%)</v>
      </c>
    </row>
    <row r="166" spans="1:16" hidden="1" x14ac:dyDescent="0.25">
      <c r="A166" t="s">
        <v>31</v>
      </c>
      <c r="B166" s="10" t="s">
        <v>32</v>
      </c>
      <c r="C166" s="60">
        <v>27373.05</v>
      </c>
      <c r="D166" s="22">
        <v>-937.42000000000098</v>
      </c>
      <c r="E166" s="4">
        <v>-3.31121313068981E-2</v>
      </c>
      <c r="F166" s="10">
        <v>11</v>
      </c>
      <c r="G166" s="3" t="s">
        <v>96</v>
      </c>
      <c r="H166" s="18">
        <v>45966</v>
      </c>
      <c r="I166" s="21" t="s">
        <v>19</v>
      </c>
      <c r="J166" s="12">
        <v>8989778518</v>
      </c>
      <c r="K166" s="13">
        <v>316339544.32033801</v>
      </c>
      <c r="L166" s="4">
        <v>0.61224489795918302</v>
      </c>
      <c r="M166" s="12">
        <v>2766928899.9109602</v>
      </c>
      <c r="N166" s="13">
        <v>130120413.25043</v>
      </c>
      <c r="O166" s="4">
        <v>0.43673469387755098</v>
      </c>
      <c r="P166" s="3" t="str">
        <f t="shared" si="2"/>
        <v>11/05 min [27373] (dis： -937，-3.31% ) (vol_wei_pr：43.67%)</v>
      </c>
    </row>
    <row r="167" spans="1:16" hidden="1" x14ac:dyDescent="0.25">
      <c r="A167" t="s">
        <v>31</v>
      </c>
      <c r="B167" s="10" t="s">
        <v>32</v>
      </c>
      <c r="C167" s="60">
        <v>27371.67</v>
      </c>
      <c r="D167" s="22">
        <v>-938.800000000002</v>
      </c>
      <c r="E167" s="4">
        <v>-3.3160876523773801E-2</v>
      </c>
      <c r="F167" s="10">
        <v>10</v>
      </c>
      <c r="G167" s="3" t="s">
        <v>97</v>
      </c>
      <c r="H167" s="18">
        <v>45953</v>
      </c>
      <c r="I167" s="21" t="s">
        <v>19</v>
      </c>
      <c r="J167" s="12">
        <v>7318554768</v>
      </c>
      <c r="K167" s="13">
        <v>295238759.14054197</v>
      </c>
      <c r="L167" s="4">
        <v>0.48979591836734598</v>
      </c>
      <c r="M167" s="12">
        <v>1707113262.22825</v>
      </c>
      <c r="N167" s="13">
        <v>123625884.802606</v>
      </c>
      <c r="O167" s="4">
        <v>0.43265306122448899</v>
      </c>
      <c r="P167" s="3" t="str">
        <f t="shared" si="2"/>
        <v>10/23 min [27372] (dis： -939，-3.32% ) (vol_wei_pr：43.27%)</v>
      </c>
    </row>
    <row r="168" spans="1:16" hidden="1" x14ac:dyDescent="0.25">
      <c r="A168" t="s">
        <v>31</v>
      </c>
      <c r="B168" s="10" t="s">
        <v>32</v>
      </c>
      <c r="C168" s="60">
        <v>27355.67</v>
      </c>
      <c r="D168" s="22">
        <v>-954.800000000002</v>
      </c>
      <c r="E168" s="4">
        <v>-3.3726038458563298E-2</v>
      </c>
      <c r="F168" s="10">
        <v>9</v>
      </c>
      <c r="G168" s="3" t="s">
        <v>98</v>
      </c>
      <c r="H168" s="18">
        <v>46007</v>
      </c>
      <c r="I168" s="21" t="s">
        <v>19</v>
      </c>
      <c r="J168" s="12">
        <v>9586999810</v>
      </c>
      <c r="K168" s="13">
        <v>261227444.111265</v>
      </c>
      <c r="L168" s="4">
        <v>0.41224489795918301</v>
      </c>
      <c r="M168" s="12">
        <v>8061673773.2670403</v>
      </c>
      <c r="N168" s="13">
        <v>115692465.050639</v>
      </c>
      <c r="O168" s="4">
        <v>0.420408163265306</v>
      </c>
      <c r="P168" s="3" t="str">
        <f t="shared" si="2"/>
        <v>12/16 min [27356] (dis： -955，-3.37% ) (vol_wei_pr：42.04%)</v>
      </c>
    </row>
    <row r="169" spans="1:16" hidden="1" x14ac:dyDescent="0.25">
      <c r="A169" t="s">
        <v>31</v>
      </c>
      <c r="B169" s="10" t="s">
        <v>32</v>
      </c>
      <c r="C169" s="60">
        <v>27350.77</v>
      </c>
      <c r="D169" s="22">
        <v>-959.7</v>
      </c>
      <c r="E169" s="4">
        <v>-3.3899119301092497E-2</v>
      </c>
      <c r="F169" s="10">
        <v>8</v>
      </c>
      <c r="G169" s="3" t="s">
        <v>99</v>
      </c>
      <c r="H169" s="18">
        <v>46009</v>
      </c>
      <c r="I169" s="21" t="s">
        <v>19</v>
      </c>
      <c r="J169" s="12">
        <v>8450315748</v>
      </c>
      <c r="K169" s="13">
        <v>236325499.09970599</v>
      </c>
      <c r="L169" s="4">
        <v>0.38775510204081598</v>
      </c>
      <c r="M169" s="12">
        <v>7615850977.0925798</v>
      </c>
      <c r="N169" s="13">
        <v>94752508.757575005</v>
      </c>
      <c r="O169" s="4">
        <v>0.35510204081632601</v>
      </c>
      <c r="P169" s="3" t="str">
        <f t="shared" si="2"/>
        <v>12/18 min [27351] (dis： -960，-3.39% ) (vol_wei_pr：35.51%)</v>
      </c>
    </row>
    <row r="170" spans="1:16" hidden="1" x14ac:dyDescent="0.25">
      <c r="A170" t="s">
        <v>31</v>
      </c>
      <c r="B170" s="10" t="s">
        <v>32</v>
      </c>
      <c r="C170" s="60">
        <v>27342.53</v>
      </c>
      <c r="D170" s="22">
        <v>-967.94000000000199</v>
      </c>
      <c r="E170" s="4">
        <v>-3.4190177697509101E-2</v>
      </c>
      <c r="F170" s="10">
        <v>7</v>
      </c>
      <c r="G170" s="3" t="s">
        <v>100</v>
      </c>
      <c r="H170" s="18">
        <v>45992</v>
      </c>
      <c r="I170" s="21" t="s">
        <v>16</v>
      </c>
      <c r="J170" s="12">
        <v>7418235597</v>
      </c>
      <c r="K170" s="13">
        <v>197681351.53488201</v>
      </c>
      <c r="L170" s="4">
        <v>0.344897959183673</v>
      </c>
      <c r="M170" s="12">
        <v>4260657513.6271701</v>
      </c>
      <c r="N170" s="13">
        <v>59924452.8875762</v>
      </c>
      <c r="O170" s="4">
        <v>0.33265306122448901</v>
      </c>
      <c r="P170" s="3" t="str">
        <f t="shared" si="2"/>
        <v>12/01 close [27343] (dis： -968，-3.42% ) (vol_wei_pr：33.27%)</v>
      </c>
    </row>
    <row r="171" spans="1:16" hidden="1" x14ac:dyDescent="0.25">
      <c r="A171" t="s">
        <v>31</v>
      </c>
      <c r="B171" s="10" t="s">
        <v>32</v>
      </c>
      <c r="C171" s="60">
        <v>27342.53</v>
      </c>
      <c r="D171" s="22">
        <v>-967.94000000000199</v>
      </c>
      <c r="E171" s="4">
        <v>-3.4190177697509101E-2</v>
      </c>
      <c r="F171" s="10">
        <v>7</v>
      </c>
      <c r="G171" s="3" t="s">
        <v>100</v>
      </c>
      <c r="H171" s="18">
        <v>45992</v>
      </c>
      <c r="I171" s="21" t="s">
        <v>19</v>
      </c>
      <c r="J171" s="12">
        <v>7418235597</v>
      </c>
      <c r="K171" s="13">
        <v>197681351.53488201</v>
      </c>
      <c r="L171" s="4">
        <v>0.344897959183673</v>
      </c>
      <c r="M171" s="12">
        <v>4260657513.6271701</v>
      </c>
      <c r="N171" s="13">
        <v>59924452.8875762</v>
      </c>
      <c r="O171" s="4">
        <v>0.33265306122448901</v>
      </c>
      <c r="P171" s="3" t="str">
        <f t="shared" si="2"/>
        <v>12/01 min [27343] (dis： -968，-3.42% ) (vol_wei_pr：33.27%)</v>
      </c>
    </row>
    <row r="172" spans="1:16" hidden="1" x14ac:dyDescent="0.25">
      <c r="A172" t="s">
        <v>31</v>
      </c>
      <c r="B172" s="10" t="s">
        <v>32</v>
      </c>
      <c r="C172" s="60">
        <v>27337.32</v>
      </c>
      <c r="D172" s="22">
        <v>-973.150000000001</v>
      </c>
      <c r="E172" s="4">
        <v>-3.4374208552524897E-2</v>
      </c>
      <c r="F172" s="10">
        <v>6</v>
      </c>
      <c r="G172" s="3" t="s">
        <v>101</v>
      </c>
      <c r="H172" s="18">
        <v>45946</v>
      </c>
      <c r="I172" s="21" t="s">
        <v>17</v>
      </c>
      <c r="J172" s="12">
        <v>9035460141</v>
      </c>
      <c r="K172" s="13">
        <v>176757210.850032</v>
      </c>
      <c r="L172" s="4">
        <v>0.32040816326530602</v>
      </c>
      <c r="M172" s="12">
        <v>1772269585.9521301</v>
      </c>
      <c r="N172" s="13">
        <v>47906689.895369202</v>
      </c>
      <c r="O172" s="4">
        <v>0.24693877551020399</v>
      </c>
      <c r="P172" s="3" t="str">
        <f t="shared" si="2"/>
        <v>10/16 open [27337] (dis： -973，-3.44% ) (vol_wei_pr：24.69%)</v>
      </c>
    </row>
    <row r="173" spans="1:16" hidden="1" x14ac:dyDescent="0.25">
      <c r="A173" t="s">
        <v>31</v>
      </c>
      <c r="B173" s="10" t="s">
        <v>32</v>
      </c>
      <c r="C173" s="60">
        <v>27337.32</v>
      </c>
      <c r="D173" s="22">
        <v>-973.150000000001</v>
      </c>
      <c r="E173" s="4">
        <v>-3.4374208552524897E-2</v>
      </c>
      <c r="F173" s="10">
        <v>6</v>
      </c>
      <c r="G173" s="3" t="s">
        <v>101</v>
      </c>
      <c r="H173" s="18">
        <v>45946</v>
      </c>
      <c r="I173" s="21" t="s">
        <v>19</v>
      </c>
      <c r="J173" s="12">
        <v>9035460141</v>
      </c>
      <c r="K173" s="13">
        <v>176757210.850032</v>
      </c>
      <c r="L173" s="4">
        <v>0.32040816326530602</v>
      </c>
      <c r="M173" s="12">
        <v>1772269585.9521301</v>
      </c>
      <c r="N173" s="13">
        <v>47906689.895369202</v>
      </c>
      <c r="O173" s="4">
        <v>0.24693877551020399</v>
      </c>
      <c r="P173" s="3" t="str">
        <f t="shared" si="2"/>
        <v>10/16 min [27337] (dis： -973，-3.44% ) (vol_wei_pr：24.69%)</v>
      </c>
    </row>
    <row r="174" spans="1:16" hidden="1" x14ac:dyDescent="0.25">
      <c r="A174" t="s">
        <v>31</v>
      </c>
      <c r="B174" s="10" t="s">
        <v>32</v>
      </c>
      <c r="C174" s="60">
        <v>27310.400000000001</v>
      </c>
      <c r="D174" s="22">
        <v>-1000.06999999999</v>
      </c>
      <c r="E174" s="4">
        <v>-3.53250935078082E-2</v>
      </c>
      <c r="F174" s="10">
        <v>6</v>
      </c>
      <c r="G174" s="3" t="s">
        <v>102</v>
      </c>
      <c r="H174" s="18">
        <v>45979</v>
      </c>
      <c r="I174" s="21" t="s">
        <v>17</v>
      </c>
      <c r="J174" s="12">
        <v>10450443082</v>
      </c>
      <c r="K174" s="13">
        <v>172763322.513062</v>
      </c>
      <c r="L174" s="4">
        <v>0.30816326530612198</v>
      </c>
      <c r="M174" s="12">
        <v>4393870062.7333899</v>
      </c>
      <c r="N174" s="13">
        <v>51352317.345968403</v>
      </c>
      <c r="O174" s="4">
        <v>0.30408163265306098</v>
      </c>
      <c r="P174" s="3" t="str">
        <f t="shared" si="2"/>
        <v>11/18 open [27310] (dis： -1000，-3.53% ) (vol_wei_pr：30.41%)</v>
      </c>
    </row>
    <row r="175" spans="1:16" hidden="1" x14ac:dyDescent="0.25">
      <c r="A175" t="s">
        <v>31</v>
      </c>
      <c r="B175" s="10" t="s">
        <v>32</v>
      </c>
      <c r="C175" s="60">
        <v>27310.400000000001</v>
      </c>
      <c r="D175" s="22">
        <v>-1000.06999999999</v>
      </c>
      <c r="E175" s="4">
        <v>-3.53250935078082E-2</v>
      </c>
      <c r="F175" s="10">
        <v>6</v>
      </c>
      <c r="G175" s="3" t="s">
        <v>102</v>
      </c>
      <c r="H175" s="18">
        <v>45979</v>
      </c>
      <c r="I175" s="21" t="s">
        <v>15</v>
      </c>
      <c r="J175" s="12">
        <v>10450443082</v>
      </c>
      <c r="K175" s="13">
        <v>172763322.513062</v>
      </c>
      <c r="L175" s="4">
        <v>0.30816326530612198</v>
      </c>
      <c r="M175" s="12">
        <v>4393870062.7333899</v>
      </c>
      <c r="N175" s="13">
        <v>51352317.345968403</v>
      </c>
      <c r="O175" s="4">
        <v>0.30408163265306098</v>
      </c>
      <c r="P175" s="3" t="str">
        <f t="shared" si="2"/>
        <v>11/18 max [27310] (dis： -1000，-3.53% ) (vol_wei_pr：30.41%)</v>
      </c>
    </row>
    <row r="176" spans="1:16" hidden="1" x14ac:dyDescent="0.25">
      <c r="A176" t="s">
        <v>31</v>
      </c>
      <c r="B176" s="10" t="s">
        <v>32</v>
      </c>
      <c r="C176" s="60">
        <v>27302.37</v>
      </c>
      <c r="D176" s="22">
        <v>-1008.1</v>
      </c>
      <c r="E176" s="4">
        <v>-3.5608734153830798E-2</v>
      </c>
      <c r="F176" s="10">
        <v>6</v>
      </c>
      <c r="G176" s="3" t="s">
        <v>102</v>
      </c>
      <c r="H176" s="18">
        <v>45947</v>
      </c>
      <c r="I176" s="21" t="s">
        <v>16</v>
      </c>
      <c r="J176" s="12">
        <v>8962849575</v>
      </c>
      <c r="K176" s="13">
        <v>172763322.513062</v>
      </c>
      <c r="L176" s="4">
        <v>0.30816326530612198</v>
      </c>
      <c r="M176" s="12">
        <v>1820024011.3685501</v>
      </c>
      <c r="N176" s="13">
        <v>51352317.345968403</v>
      </c>
      <c r="O176" s="4">
        <v>0.30408163265306098</v>
      </c>
      <c r="P176" s="3" t="str">
        <f t="shared" si="2"/>
        <v>10/17 close [27302] (dis： -1008，-3.56% ) (vol_wei_pr：30.41%)</v>
      </c>
    </row>
    <row r="177" spans="1:16" hidden="1" x14ac:dyDescent="0.25">
      <c r="A177" t="s">
        <v>31</v>
      </c>
      <c r="B177" s="10" t="s">
        <v>32</v>
      </c>
      <c r="C177" s="60">
        <v>27302.37</v>
      </c>
      <c r="D177" s="22">
        <v>-1008.1</v>
      </c>
      <c r="E177" s="4">
        <v>-3.5608734153830798E-2</v>
      </c>
      <c r="F177" s="10">
        <v>6</v>
      </c>
      <c r="G177" s="3" t="s">
        <v>102</v>
      </c>
      <c r="H177" s="18">
        <v>45947</v>
      </c>
      <c r="I177" s="21" t="s">
        <v>19</v>
      </c>
      <c r="J177" s="12">
        <v>8962849575</v>
      </c>
      <c r="K177" s="13">
        <v>172763322.513062</v>
      </c>
      <c r="L177" s="4">
        <v>0.30816326530612198</v>
      </c>
      <c r="M177" s="12">
        <v>1820024011.3685501</v>
      </c>
      <c r="N177" s="13">
        <v>51352317.345968403</v>
      </c>
      <c r="O177" s="4">
        <v>0.30408163265306098</v>
      </c>
      <c r="P177" s="3" t="str">
        <f t="shared" si="2"/>
        <v>10/17 min [27302] (dis： -1008，-3.56% ) (vol_wei_pr：30.41%)</v>
      </c>
    </row>
    <row r="178" spans="1:16" hidden="1" x14ac:dyDescent="0.25">
      <c r="A178" t="s">
        <v>31</v>
      </c>
      <c r="B178" s="10" t="s">
        <v>32</v>
      </c>
      <c r="C178" s="60">
        <v>27301.919999999998</v>
      </c>
      <c r="D178" s="22">
        <v>-1008.55</v>
      </c>
      <c r="E178" s="4">
        <v>-3.5624629333246699E-2</v>
      </c>
      <c r="F178" s="10">
        <v>5</v>
      </c>
      <c r="G178" s="3" t="s">
        <v>103</v>
      </c>
      <c r="H178" s="18">
        <v>45939</v>
      </c>
      <c r="I178" s="21" t="s">
        <v>16</v>
      </c>
      <c r="J178" s="12">
        <v>9444331803</v>
      </c>
      <c r="K178" s="13">
        <v>130228918.68333501</v>
      </c>
      <c r="L178" s="4">
        <v>0.18979591836734599</v>
      </c>
      <c r="M178" s="12">
        <v>1612667180.13047</v>
      </c>
      <c r="N178" s="13">
        <v>42715149.4863986</v>
      </c>
      <c r="O178" s="4">
        <v>0.185714285714285</v>
      </c>
      <c r="P178" s="3" t="str">
        <f t="shared" si="2"/>
        <v>10/09 close [27302] (dis： -1009，-3.56% ) (vol_wei_pr：18.57%)</v>
      </c>
    </row>
    <row r="179" spans="1:16" hidden="1" x14ac:dyDescent="0.25">
      <c r="A179" t="s">
        <v>31</v>
      </c>
      <c r="B179" s="10" t="s">
        <v>32</v>
      </c>
      <c r="C179" s="60">
        <v>27301.61</v>
      </c>
      <c r="D179" s="22">
        <v>-1008.86</v>
      </c>
      <c r="E179" s="4">
        <v>-3.56355793457332E-2</v>
      </c>
      <c r="F179" s="10">
        <v>5</v>
      </c>
      <c r="G179" s="3" t="s">
        <v>103</v>
      </c>
      <c r="H179" s="18">
        <v>45939</v>
      </c>
      <c r="I179" s="21" t="s">
        <v>17</v>
      </c>
      <c r="J179" s="12">
        <v>9444331803</v>
      </c>
      <c r="K179" s="13">
        <v>130228918.68333501</v>
      </c>
      <c r="L179" s="4">
        <v>0.18979591836734599</v>
      </c>
      <c r="M179" s="12">
        <v>1612667180.13047</v>
      </c>
      <c r="N179" s="13">
        <v>42715149.4863986</v>
      </c>
      <c r="O179" s="4">
        <v>0.185714285714285</v>
      </c>
      <c r="P179" s="3" t="str">
        <f t="shared" si="2"/>
        <v>10/09 open [27302] (dis： -1009，-3.56% ) (vol_wei_pr：18.57%)</v>
      </c>
    </row>
    <row r="180" spans="1:16" hidden="1" x14ac:dyDescent="0.25">
      <c r="A180" t="s">
        <v>31</v>
      </c>
      <c r="B180" s="10" t="s">
        <v>32</v>
      </c>
      <c r="C180" s="60">
        <v>27301.42</v>
      </c>
      <c r="D180" s="22">
        <v>-1009.05</v>
      </c>
      <c r="E180" s="4">
        <v>-3.5642290643708899E-2</v>
      </c>
      <c r="F180" s="10">
        <v>6</v>
      </c>
      <c r="G180" s="3" t="s">
        <v>104</v>
      </c>
      <c r="H180" s="18">
        <v>45937</v>
      </c>
      <c r="I180" s="21" t="s">
        <v>15</v>
      </c>
      <c r="J180" s="12">
        <v>9348656371</v>
      </c>
      <c r="K180" s="13">
        <v>163107361.29077801</v>
      </c>
      <c r="L180" s="4">
        <v>0.27959183673469301</v>
      </c>
      <c r="M180" s="12">
        <v>1489428666.1017399</v>
      </c>
      <c r="N180" s="13">
        <v>47953345.540776402</v>
      </c>
      <c r="O180" s="4">
        <v>0.25510204081632598</v>
      </c>
      <c r="P180" s="3" t="str">
        <f t="shared" si="2"/>
        <v>10/07 max [27301] (dis： -1009，-3.56% ) (vol_wei_pr：25.51%)</v>
      </c>
    </row>
    <row r="181" spans="1:16" hidden="1" x14ac:dyDescent="0.25">
      <c r="A181" t="s">
        <v>31</v>
      </c>
      <c r="B181" s="10" t="s">
        <v>32</v>
      </c>
      <c r="C181" s="60">
        <v>27282.1</v>
      </c>
      <c r="D181" s="22">
        <v>-1028.3699999999999</v>
      </c>
      <c r="E181" s="4">
        <v>-3.6324723679967197E-2</v>
      </c>
      <c r="F181" s="10">
        <v>6</v>
      </c>
      <c r="G181" s="3" t="s">
        <v>104</v>
      </c>
      <c r="H181" s="18">
        <v>45944</v>
      </c>
      <c r="I181" s="21" t="s">
        <v>17</v>
      </c>
      <c r="J181" s="12">
        <v>12066540173</v>
      </c>
      <c r="K181" s="13">
        <v>163107361.29077801</v>
      </c>
      <c r="L181" s="4">
        <v>0.27959183673469301</v>
      </c>
      <c r="M181" s="12">
        <v>2208306108.35531</v>
      </c>
      <c r="N181" s="13">
        <v>47953345.540776402</v>
      </c>
      <c r="O181" s="4">
        <v>0.25510204081632598</v>
      </c>
      <c r="P181" s="3" t="str">
        <f t="shared" si="2"/>
        <v>10/14 open [27282] (dis： -1028，-3.63% ) (vol_wei_pr：25.51%)</v>
      </c>
    </row>
    <row r="182" spans="1:16" hidden="1" x14ac:dyDescent="0.25">
      <c r="A182" t="s">
        <v>31</v>
      </c>
      <c r="B182" s="10" t="s">
        <v>32</v>
      </c>
      <c r="C182" s="60">
        <v>27275.71</v>
      </c>
      <c r="D182" s="22">
        <v>-1034.76</v>
      </c>
      <c r="E182" s="4">
        <v>-3.6550435227673699E-2</v>
      </c>
      <c r="F182" s="10">
        <v>7</v>
      </c>
      <c r="G182" s="3" t="s">
        <v>105</v>
      </c>
      <c r="H182" s="18">
        <v>45945</v>
      </c>
      <c r="I182" s="21" t="s">
        <v>16</v>
      </c>
      <c r="J182" s="12">
        <v>8387861014</v>
      </c>
      <c r="K182" s="13">
        <v>179797629.14735201</v>
      </c>
      <c r="L182" s="4">
        <v>0.33061224489795898</v>
      </c>
      <c r="M182" s="12">
        <v>1589202487.0633099</v>
      </c>
      <c r="N182" s="13">
        <v>51115559.976989597</v>
      </c>
      <c r="O182" s="4">
        <v>0.28979591836734597</v>
      </c>
      <c r="P182" s="3" t="str">
        <f t="shared" si="2"/>
        <v>10/15 close [27276] (dis： -1035，-3.66% ) (vol_wei_pr：28.98%)</v>
      </c>
    </row>
    <row r="183" spans="1:16" hidden="1" x14ac:dyDescent="0.25">
      <c r="A183" t="s">
        <v>31</v>
      </c>
      <c r="B183" s="10" t="s">
        <v>32</v>
      </c>
      <c r="C183" s="60">
        <v>27275.71</v>
      </c>
      <c r="D183" s="22">
        <v>-1034.76</v>
      </c>
      <c r="E183" s="4">
        <v>-3.6550435227673699E-2</v>
      </c>
      <c r="F183" s="10">
        <v>7</v>
      </c>
      <c r="G183" s="3" t="s">
        <v>105</v>
      </c>
      <c r="H183" s="18">
        <v>45945</v>
      </c>
      <c r="I183" s="21" t="s">
        <v>15</v>
      </c>
      <c r="J183" s="12">
        <v>8387861014</v>
      </c>
      <c r="K183" s="13">
        <v>179797629.14735201</v>
      </c>
      <c r="L183" s="4">
        <v>0.33061224489795898</v>
      </c>
      <c r="M183" s="12">
        <v>1589202487.0633099</v>
      </c>
      <c r="N183" s="13">
        <v>51115559.976989597</v>
      </c>
      <c r="O183" s="4">
        <v>0.28979591836734597</v>
      </c>
      <c r="P183" s="3" t="str">
        <f t="shared" si="2"/>
        <v>10/15 max [27276] (dis： -1035，-3.66% ) (vol_wei_pr：28.98%)</v>
      </c>
    </row>
    <row r="184" spans="1:16" hidden="1" x14ac:dyDescent="0.25">
      <c r="A184" t="s">
        <v>31</v>
      </c>
      <c r="B184" s="10" t="s">
        <v>32</v>
      </c>
      <c r="C184" s="60">
        <v>27253.07</v>
      </c>
      <c r="D184" s="22">
        <v>-1057.4000000000001</v>
      </c>
      <c r="E184" s="4">
        <v>-3.7350139365400901E-2</v>
      </c>
      <c r="F184" s="10">
        <v>7</v>
      </c>
      <c r="G184" s="3" t="s">
        <v>105</v>
      </c>
      <c r="H184" s="18">
        <v>45939</v>
      </c>
      <c r="I184" s="21" t="s">
        <v>19</v>
      </c>
      <c r="J184" s="12">
        <v>9444331803</v>
      </c>
      <c r="K184" s="13">
        <v>179797629.14735201</v>
      </c>
      <c r="L184" s="4">
        <v>0.33061224489795898</v>
      </c>
      <c r="M184" s="12">
        <v>1612667180.13047</v>
      </c>
      <c r="N184" s="13">
        <v>51115559.976989597</v>
      </c>
      <c r="O184" s="4">
        <v>0.28979591836734597</v>
      </c>
      <c r="P184" s="3" t="str">
        <f t="shared" si="2"/>
        <v>10/09 min [27253] (dis： -1057，-3.74% ) (vol_wei_pr：28.98%)</v>
      </c>
    </row>
    <row r="185" spans="1:16" hidden="1" x14ac:dyDescent="0.25">
      <c r="A185" t="s">
        <v>31</v>
      </c>
      <c r="B185" s="10" t="s">
        <v>32</v>
      </c>
      <c r="C185" s="60">
        <v>27212.91</v>
      </c>
      <c r="D185" s="22">
        <v>-1097.56</v>
      </c>
      <c r="E185" s="4">
        <v>-3.8768695821722501E-2</v>
      </c>
      <c r="F185" s="10">
        <v>6</v>
      </c>
      <c r="G185" s="3" t="s">
        <v>106</v>
      </c>
      <c r="H185" s="18">
        <v>45981</v>
      </c>
      <c r="I185" s="21" t="s">
        <v>17</v>
      </c>
      <c r="J185" s="12">
        <v>8497528679</v>
      </c>
      <c r="K185" s="13">
        <v>134835325.871941</v>
      </c>
      <c r="L185" s="4">
        <v>0.208163265306122</v>
      </c>
      <c r="M185" s="12">
        <v>3829200826.4987702</v>
      </c>
      <c r="N185" s="13">
        <v>43438020.438163199</v>
      </c>
      <c r="O185" s="4">
        <v>0.19591836734693799</v>
      </c>
      <c r="P185" s="3" t="str">
        <f t="shared" si="2"/>
        <v>11/20 open [27213] (dis： -1098，-3.88% ) (vol_wei_pr：19.59%)</v>
      </c>
    </row>
    <row r="186" spans="1:16" hidden="1" x14ac:dyDescent="0.25">
      <c r="A186" t="s">
        <v>31</v>
      </c>
      <c r="B186" s="10" t="s">
        <v>32</v>
      </c>
      <c r="C186" s="60">
        <v>27211.95</v>
      </c>
      <c r="D186" s="22">
        <v>-1098.52</v>
      </c>
      <c r="E186" s="4">
        <v>-3.8802605537809801E-2</v>
      </c>
      <c r="F186" s="10">
        <v>6</v>
      </c>
      <c r="G186" s="3" t="s">
        <v>106</v>
      </c>
      <c r="H186" s="18">
        <v>45937</v>
      </c>
      <c r="I186" s="21" t="s">
        <v>16</v>
      </c>
      <c r="J186" s="12">
        <v>9348656371</v>
      </c>
      <c r="K186" s="13">
        <v>134835325.871941</v>
      </c>
      <c r="L186" s="4">
        <v>0.208163265306122</v>
      </c>
      <c r="M186" s="12">
        <v>1489428666.1017399</v>
      </c>
      <c r="N186" s="13">
        <v>43438020.438163199</v>
      </c>
      <c r="O186" s="4">
        <v>0.19591836734693799</v>
      </c>
      <c r="P186" s="3" t="str">
        <f t="shared" si="2"/>
        <v>10/07 close [27212] (dis： -1099，-3.88% ) (vol_wei_pr：19.59%)</v>
      </c>
    </row>
    <row r="187" spans="1:16" hidden="1" x14ac:dyDescent="0.25">
      <c r="A187" t="s">
        <v>31</v>
      </c>
      <c r="B187" s="10" t="s">
        <v>32</v>
      </c>
      <c r="C187" s="60">
        <v>27183.03</v>
      </c>
      <c r="D187" s="22">
        <v>-1127.44</v>
      </c>
      <c r="E187" s="4">
        <v>-3.9824135734941903E-2</v>
      </c>
      <c r="F187" s="10">
        <v>6</v>
      </c>
      <c r="G187" s="3" t="s">
        <v>106</v>
      </c>
      <c r="H187" s="18">
        <v>45981</v>
      </c>
      <c r="I187" s="21" t="s">
        <v>19</v>
      </c>
      <c r="J187" s="12">
        <v>8497528679</v>
      </c>
      <c r="K187" s="13">
        <v>134835325.871941</v>
      </c>
      <c r="L187" s="4">
        <v>0.208163265306122</v>
      </c>
      <c r="M187" s="12">
        <v>3829200826.4987702</v>
      </c>
      <c r="N187" s="13">
        <v>43438020.438163199</v>
      </c>
      <c r="O187" s="4">
        <v>0.19591836734693799</v>
      </c>
      <c r="P187" s="3" t="str">
        <f t="shared" si="2"/>
        <v>11/20 min [27183] (dis： -1127，-3.98% ) (vol_wei_pr：19.59%)</v>
      </c>
    </row>
    <row r="188" spans="1:16" hidden="1" x14ac:dyDescent="0.25">
      <c r="A188" t="s">
        <v>31</v>
      </c>
      <c r="B188" s="10" t="s">
        <v>32</v>
      </c>
      <c r="C188" s="60">
        <v>27118.02</v>
      </c>
      <c r="D188" s="22">
        <v>-1192.45</v>
      </c>
      <c r="E188" s="4">
        <v>-4.21204593212334E-2</v>
      </c>
      <c r="F188" s="10">
        <v>6</v>
      </c>
      <c r="G188" s="3" t="s">
        <v>107</v>
      </c>
      <c r="H188" s="18">
        <v>45986</v>
      </c>
      <c r="I188" s="21" t="s">
        <v>15</v>
      </c>
      <c r="J188" s="12">
        <v>6714625759</v>
      </c>
      <c r="K188" s="13">
        <v>128181238.703895</v>
      </c>
      <c r="L188" s="4">
        <v>0.16734693877550999</v>
      </c>
      <c r="M188" s="12">
        <v>3357312879.5</v>
      </c>
      <c r="N188" s="13">
        <v>41461793.058265202</v>
      </c>
      <c r="O188" s="4">
        <v>0.17959183673469301</v>
      </c>
      <c r="P188" s="3" t="str">
        <f t="shared" si="2"/>
        <v>11/25 max [27118] (dis： -1192，-4.21% ) (vol_wei_pr：17.96%)</v>
      </c>
    </row>
    <row r="189" spans="1:16" hidden="1" x14ac:dyDescent="0.25">
      <c r="A189" t="s">
        <v>31</v>
      </c>
      <c r="B189" s="10" t="s">
        <v>32</v>
      </c>
      <c r="C189" s="60">
        <v>27110.43</v>
      </c>
      <c r="D189" s="22">
        <v>-1200.04</v>
      </c>
      <c r="E189" s="4">
        <v>-4.2388558014049199E-2</v>
      </c>
      <c r="F189" s="10">
        <v>7</v>
      </c>
      <c r="G189" s="3" t="s">
        <v>108</v>
      </c>
      <c r="H189" s="18">
        <v>45938</v>
      </c>
      <c r="I189" s="21" t="s">
        <v>15</v>
      </c>
      <c r="J189" s="12">
        <v>8261189883</v>
      </c>
      <c r="K189" s="13">
        <v>164664147.56716999</v>
      </c>
      <c r="L189" s="4">
        <v>0.291836734693877</v>
      </c>
      <c r="M189" s="12">
        <v>1362588175.37693</v>
      </c>
      <c r="N189" s="13">
        <v>47479228.914902397</v>
      </c>
      <c r="O189" s="4">
        <v>0.23469387755102</v>
      </c>
      <c r="P189" s="3" t="str">
        <f t="shared" si="2"/>
        <v>10/08 max [27110] (dis： -1200，-4.24% ) (vol_wei_pr：23.47%)</v>
      </c>
    </row>
    <row r="190" spans="1:16" hidden="1" x14ac:dyDescent="0.25">
      <c r="A190" t="s">
        <v>31</v>
      </c>
      <c r="B190" s="10" t="s">
        <v>32</v>
      </c>
      <c r="C190" s="60">
        <v>27063.68</v>
      </c>
      <c r="D190" s="22">
        <v>-1246.79</v>
      </c>
      <c r="E190" s="4">
        <v>-4.4039890542262303E-2</v>
      </c>
      <c r="F190" s="10">
        <v>7</v>
      </c>
      <c r="G190" s="3" t="s">
        <v>108</v>
      </c>
      <c r="H190" s="18">
        <v>45938</v>
      </c>
      <c r="I190" s="21" t="s">
        <v>16</v>
      </c>
      <c r="J190" s="12">
        <v>8261189883</v>
      </c>
      <c r="K190" s="13">
        <v>164664147.56716999</v>
      </c>
      <c r="L190" s="4">
        <v>0.291836734693877</v>
      </c>
      <c r="M190" s="12">
        <v>1362588175.37693</v>
      </c>
      <c r="N190" s="13">
        <v>47479228.914902397</v>
      </c>
      <c r="O190" s="4">
        <v>0.23469387755102</v>
      </c>
      <c r="P190" s="3" t="str">
        <f t="shared" si="2"/>
        <v>10/08 close [27064] (dis： -1247，-4.40% ) (vol_wei_pr：23.47%)</v>
      </c>
    </row>
    <row r="191" spans="1:16" hidden="1" x14ac:dyDescent="0.25">
      <c r="A191" t="s">
        <v>31</v>
      </c>
      <c r="B191" s="10" t="s">
        <v>32</v>
      </c>
      <c r="C191" s="60">
        <v>27063.17</v>
      </c>
      <c r="D191" s="22">
        <v>-1247.3</v>
      </c>
      <c r="E191" s="4">
        <v>-4.4057905078933798E-2</v>
      </c>
      <c r="F191" s="10">
        <v>7</v>
      </c>
      <c r="G191" s="3" t="s">
        <v>108</v>
      </c>
      <c r="H191" s="18">
        <v>45987</v>
      </c>
      <c r="I191" s="21" t="s">
        <v>17</v>
      </c>
      <c r="J191" s="12">
        <v>7902773415</v>
      </c>
      <c r="K191" s="13">
        <v>164664147.56716999</v>
      </c>
      <c r="L191" s="4">
        <v>0.291836734693877</v>
      </c>
      <c r="M191" s="12">
        <v>4090732058.8078098</v>
      </c>
      <c r="N191" s="13">
        <v>47479228.914902397</v>
      </c>
      <c r="O191" s="4">
        <v>0.23469387755102</v>
      </c>
      <c r="P191" s="3" t="str">
        <f t="shared" si="2"/>
        <v>11/26 open [27063] (dis： -1247，-4.41% ) (vol_wei_pr：23.47%)</v>
      </c>
    </row>
    <row r="192" spans="1:16" hidden="1" x14ac:dyDescent="0.25">
      <c r="A192" t="s">
        <v>31</v>
      </c>
      <c r="B192" s="10" t="s">
        <v>32</v>
      </c>
      <c r="C192" s="60">
        <v>27063.17</v>
      </c>
      <c r="D192" s="22">
        <v>-1247.3</v>
      </c>
      <c r="E192" s="4">
        <v>-4.4057905078933798E-2</v>
      </c>
      <c r="F192" s="10">
        <v>7</v>
      </c>
      <c r="G192" s="3" t="s">
        <v>108</v>
      </c>
      <c r="H192" s="18">
        <v>45987</v>
      </c>
      <c r="I192" s="21" t="s">
        <v>19</v>
      </c>
      <c r="J192" s="12">
        <v>7902773415</v>
      </c>
      <c r="K192" s="13">
        <v>164664147.56716999</v>
      </c>
      <c r="L192" s="4">
        <v>0.291836734693877</v>
      </c>
      <c r="M192" s="12">
        <v>4090732058.8078098</v>
      </c>
      <c r="N192" s="13">
        <v>47479228.914902397</v>
      </c>
      <c r="O192" s="4">
        <v>0.23469387755102</v>
      </c>
      <c r="P192" s="3" t="str">
        <f t="shared" si="2"/>
        <v>11/26 min [27063] (dis： -1247，-4.41% ) (vol_wei_pr：23.47%)</v>
      </c>
    </row>
    <row r="193" spans="1:16" hidden="1" x14ac:dyDescent="0.25">
      <c r="A193" t="s">
        <v>31</v>
      </c>
      <c r="B193" s="10" t="s">
        <v>32</v>
      </c>
      <c r="C193" s="60">
        <v>27029.279999999999</v>
      </c>
      <c r="D193" s="22">
        <v>-1281.19</v>
      </c>
      <c r="E193" s="4">
        <v>-4.5254988702059698E-2</v>
      </c>
      <c r="F193" s="10">
        <v>6</v>
      </c>
      <c r="G193" s="3" t="s">
        <v>109</v>
      </c>
      <c r="H193" s="18">
        <v>45937</v>
      </c>
      <c r="I193" s="21" t="s">
        <v>17</v>
      </c>
      <c r="J193" s="12">
        <v>9348656371</v>
      </c>
      <c r="K193" s="13">
        <v>141848160.573493</v>
      </c>
      <c r="L193" s="4">
        <v>0.24693877551020399</v>
      </c>
      <c r="M193" s="12">
        <v>1489428666.1017399</v>
      </c>
      <c r="N193" s="13">
        <v>35668933.396214902</v>
      </c>
      <c r="O193" s="4">
        <v>0.15306122448979501</v>
      </c>
      <c r="P193" s="3" t="str">
        <f t="shared" si="2"/>
        <v>10/07 open [27029] (dis： -1281，-4.53% ) (vol_wei_pr：15.31%)</v>
      </c>
    </row>
    <row r="194" spans="1:16" hidden="1" x14ac:dyDescent="0.25">
      <c r="A194" t="s">
        <v>31</v>
      </c>
      <c r="B194" s="10" t="s">
        <v>32</v>
      </c>
      <c r="C194" s="60">
        <v>27017.08</v>
      </c>
      <c r="D194" s="22">
        <v>-1293.3899999999901</v>
      </c>
      <c r="E194" s="4">
        <v>-4.5685924677336599E-2</v>
      </c>
      <c r="F194" s="10">
        <v>6</v>
      </c>
      <c r="G194" s="3" t="s">
        <v>109</v>
      </c>
      <c r="H194" s="18">
        <v>45937</v>
      </c>
      <c r="I194" s="21" t="s">
        <v>19</v>
      </c>
      <c r="J194" s="12">
        <v>9348656371</v>
      </c>
      <c r="K194" s="13">
        <v>141848160.573493</v>
      </c>
      <c r="L194" s="4">
        <v>0.24693877551020399</v>
      </c>
      <c r="M194" s="12">
        <v>1489428666.1017399</v>
      </c>
      <c r="N194" s="13">
        <v>35668933.396214902</v>
      </c>
      <c r="O194" s="4">
        <v>0.15306122448979501</v>
      </c>
      <c r="P194" s="3" t="str">
        <f t="shared" si="2"/>
        <v>10/07 min [27017] (dis： -1293，-4.57% ) (vol_wei_pr：15.31%)</v>
      </c>
    </row>
    <row r="195" spans="1:16" hidden="1" x14ac:dyDescent="0.25">
      <c r="A195" t="s">
        <v>31</v>
      </c>
      <c r="B195" s="10" t="s">
        <v>32</v>
      </c>
      <c r="C195" s="60">
        <v>26999.82</v>
      </c>
      <c r="D195" s="22">
        <v>-1310.6500000000001</v>
      </c>
      <c r="E195" s="4">
        <v>-4.6295593114490899E-2</v>
      </c>
      <c r="F195" s="10">
        <v>5</v>
      </c>
      <c r="G195" s="3" t="s">
        <v>110</v>
      </c>
      <c r="H195" s="18">
        <v>45938</v>
      </c>
      <c r="I195" s="21" t="s">
        <v>17</v>
      </c>
      <c r="J195" s="12">
        <v>8261189883</v>
      </c>
      <c r="K195" s="13">
        <v>108969717.966051</v>
      </c>
      <c r="L195" s="4">
        <v>0.12448979591836699</v>
      </c>
      <c r="M195" s="12">
        <v>1362588175.37693</v>
      </c>
      <c r="N195" s="13">
        <v>30430737.341837201</v>
      </c>
      <c r="O195" s="4">
        <v>0.12448979591836699</v>
      </c>
      <c r="P195" s="3" t="str">
        <f t="shared" ref="P195:P246" si="3">TEXT(H195,"MM/DD")&amp;" "&amp;I195&amp;" ["&amp;TEXT(C195,"0")&amp;"] (dis： "&amp;TEXT(D195,"0")&amp;"，"&amp;TEXT(E195,"0.00%")&amp;" ) (vol_wei_pr："&amp;TEXT(O195,"0.00%")&amp;")"</f>
        <v>10/08 open [27000] (dis： -1311，-4.63% ) (vol_wei_pr：12.45%)</v>
      </c>
    </row>
    <row r="196" spans="1:16" hidden="1" x14ac:dyDescent="0.25">
      <c r="A196" t="s">
        <v>31</v>
      </c>
      <c r="B196" s="10" t="s">
        <v>32</v>
      </c>
      <c r="C196" s="60">
        <v>26995.9</v>
      </c>
      <c r="D196" s="22">
        <v>-1314.5699999999899</v>
      </c>
      <c r="E196" s="4">
        <v>-4.6434057788514199E-2</v>
      </c>
      <c r="F196" s="10">
        <v>5</v>
      </c>
      <c r="G196" s="3" t="s">
        <v>110</v>
      </c>
      <c r="H196" s="18">
        <v>45986</v>
      </c>
      <c r="I196" s="21" t="s">
        <v>17</v>
      </c>
      <c r="J196" s="12">
        <v>6714625759</v>
      </c>
      <c r="K196" s="13">
        <v>108969717.966051</v>
      </c>
      <c r="L196" s="4">
        <v>0.12448979591836699</v>
      </c>
      <c r="M196" s="12">
        <v>3357312879.5</v>
      </c>
      <c r="N196" s="13">
        <v>30430737.341837201</v>
      </c>
      <c r="O196" s="4">
        <v>0.12448979591836699</v>
      </c>
      <c r="P196" s="3" t="str">
        <f t="shared" si="3"/>
        <v>11/25 open [26996] (dis： -1315，-4.64% ) (vol_wei_pr：12.45%)</v>
      </c>
    </row>
    <row r="197" spans="1:16" hidden="1" x14ac:dyDescent="0.25">
      <c r="A197" t="s">
        <v>31</v>
      </c>
      <c r="B197" s="10" t="s">
        <v>32</v>
      </c>
      <c r="C197" s="60">
        <v>26965.72</v>
      </c>
      <c r="D197" s="22">
        <v>-1344.75</v>
      </c>
      <c r="E197" s="4">
        <v>-4.7500094488010902E-2</v>
      </c>
      <c r="F197" s="10">
        <v>6</v>
      </c>
      <c r="G197" s="3" t="s">
        <v>24</v>
      </c>
      <c r="H197" s="18">
        <v>45943</v>
      </c>
      <c r="I197" s="21" t="s">
        <v>15</v>
      </c>
      <c r="J197" s="12">
        <v>10191083804</v>
      </c>
      <c r="K197" s="13">
        <v>129546126.874143</v>
      </c>
      <c r="L197" s="4">
        <v>0.17755102040816301</v>
      </c>
      <c r="M197" s="12">
        <v>1801546116.36219</v>
      </c>
      <c r="N197" s="13">
        <v>34068166.909681998</v>
      </c>
      <c r="O197" s="4">
        <v>0.14081632653061199</v>
      </c>
      <c r="P197" s="3" t="str">
        <f t="shared" si="3"/>
        <v>10/13 max [26966] (dis： -1345，-4.75% ) (vol_wei_pr：14.08%)</v>
      </c>
    </row>
    <row r="198" spans="1:16" hidden="1" x14ac:dyDescent="0.25">
      <c r="A198" t="s">
        <v>31</v>
      </c>
      <c r="B198" s="10" t="s">
        <v>32</v>
      </c>
      <c r="C198" s="60">
        <v>26923.42</v>
      </c>
      <c r="D198" s="22">
        <v>-1387.05</v>
      </c>
      <c r="E198" s="4">
        <v>-4.8994241353110798E-2</v>
      </c>
      <c r="F198" s="10">
        <v>6</v>
      </c>
      <c r="G198" s="3" t="s">
        <v>24</v>
      </c>
      <c r="H198" s="18">
        <v>45943</v>
      </c>
      <c r="I198" s="21" t="s">
        <v>16</v>
      </c>
      <c r="J198" s="12">
        <v>10191083804</v>
      </c>
      <c r="K198" s="13">
        <v>129546126.874143</v>
      </c>
      <c r="L198" s="4">
        <v>0.17755102040816301</v>
      </c>
      <c r="M198" s="12">
        <v>1801546116.36219</v>
      </c>
      <c r="N198" s="13">
        <v>34068166.909681998</v>
      </c>
      <c r="O198" s="4">
        <v>0.14081632653061199</v>
      </c>
      <c r="P198" s="3" t="str">
        <f t="shared" si="3"/>
        <v>10/13 close [26923] (dis： -1387，-4.90% ) (vol_wei_pr：14.08%)</v>
      </c>
    </row>
    <row r="199" spans="1:16" hidden="1" x14ac:dyDescent="0.25">
      <c r="A199" t="s">
        <v>31</v>
      </c>
      <c r="B199" s="10" t="s">
        <v>32</v>
      </c>
      <c r="C199" s="60">
        <v>26912.17</v>
      </c>
      <c r="D199" s="22">
        <v>-1398.3</v>
      </c>
      <c r="E199" s="4">
        <v>-4.9391620838509599E-2</v>
      </c>
      <c r="F199" s="10">
        <v>6</v>
      </c>
      <c r="G199" s="3" t="s">
        <v>24</v>
      </c>
      <c r="H199" s="18">
        <v>45986</v>
      </c>
      <c r="I199" s="21" t="s">
        <v>16</v>
      </c>
      <c r="J199" s="12">
        <v>6714625759</v>
      </c>
      <c r="K199" s="13">
        <v>129546126.874143</v>
      </c>
      <c r="L199" s="4">
        <v>0.17755102040816301</v>
      </c>
      <c r="M199" s="12">
        <v>3357312879.5</v>
      </c>
      <c r="N199" s="13">
        <v>34068166.909681998</v>
      </c>
      <c r="O199" s="4">
        <v>0.14081632653061199</v>
      </c>
      <c r="P199" s="3" t="str">
        <f t="shared" si="3"/>
        <v>11/25 close [26912] (dis： -1398，-4.94% ) (vol_wei_pr：14.08%)</v>
      </c>
    </row>
    <row r="200" spans="1:16" hidden="1" x14ac:dyDescent="0.25">
      <c r="A200" t="s">
        <v>31</v>
      </c>
      <c r="B200" s="10" t="s">
        <v>32</v>
      </c>
      <c r="C200" s="60">
        <v>26911.05</v>
      </c>
      <c r="D200" s="22">
        <v>-1399.42</v>
      </c>
      <c r="E200" s="4">
        <v>-4.9431182173944897E-2</v>
      </c>
      <c r="F200" s="10">
        <v>6</v>
      </c>
      <c r="G200" s="3" t="s">
        <v>24</v>
      </c>
      <c r="H200" s="18">
        <v>45945</v>
      </c>
      <c r="I200" s="21" t="s">
        <v>17</v>
      </c>
      <c r="J200" s="12">
        <v>8387861014</v>
      </c>
      <c r="K200" s="13">
        <v>129546126.874143</v>
      </c>
      <c r="L200" s="4">
        <v>0.17755102040816301</v>
      </c>
      <c r="M200" s="12">
        <v>1589202487.0633099</v>
      </c>
      <c r="N200" s="13">
        <v>34068166.909681998</v>
      </c>
      <c r="O200" s="4">
        <v>0.14081632653061199</v>
      </c>
      <c r="P200" s="3" t="str">
        <f t="shared" si="3"/>
        <v>10/15 open [26911] (dis： -1399，-4.94% ) (vol_wei_pr：14.08%)</v>
      </c>
    </row>
    <row r="201" spans="1:16" hidden="1" x14ac:dyDescent="0.25">
      <c r="A201" t="s">
        <v>31</v>
      </c>
      <c r="B201" s="10" t="s">
        <v>32</v>
      </c>
      <c r="C201" s="60">
        <v>26902.97</v>
      </c>
      <c r="D201" s="22">
        <v>-1407.5</v>
      </c>
      <c r="E201" s="4">
        <v>-4.9716588951013503E-2</v>
      </c>
      <c r="F201" s="10">
        <v>7</v>
      </c>
      <c r="G201" s="3" t="s">
        <v>111</v>
      </c>
      <c r="H201" s="18">
        <v>45980</v>
      </c>
      <c r="I201" s="21" t="s">
        <v>15</v>
      </c>
      <c r="J201" s="12">
        <v>8069342681</v>
      </c>
      <c r="K201" s="13">
        <v>154540219.11821899</v>
      </c>
      <c r="L201" s="4">
        <v>0.27142857142857102</v>
      </c>
      <c r="M201" s="12">
        <v>3512385408.1869998</v>
      </c>
      <c r="N201" s="13">
        <v>44947477.450759903</v>
      </c>
      <c r="O201" s="4">
        <v>0.22244897959183599</v>
      </c>
      <c r="P201" s="3" t="str">
        <f t="shared" si="3"/>
        <v>11/19 max [26903] (dis： -1408，-4.97% ) (vol_wei_pr：22.24%)</v>
      </c>
    </row>
    <row r="202" spans="1:16" hidden="1" x14ac:dyDescent="0.25">
      <c r="A202" t="s">
        <v>31</v>
      </c>
      <c r="B202" s="10" t="s">
        <v>32</v>
      </c>
      <c r="C202" s="60">
        <v>26883.99</v>
      </c>
      <c r="D202" s="22">
        <v>-1426.47999999999</v>
      </c>
      <c r="E202" s="4">
        <v>-5.0387012296157503E-2</v>
      </c>
      <c r="F202" s="10">
        <v>7</v>
      </c>
      <c r="G202" s="3" t="s">
        <v>111</v>
      </c>
      <c r="H202" s="18">
        <v>45938</v>
      </c>
      <c r="I202" s="21" t="s">
        <v>19</v>
      </c>
      <c r="J202" s="12">
        <v>8261189883</v>
      </c>
      <c r="K202" s="13">
        <v>154540219.11821899</v>
      </c>
      <c r="L202" s="4">
        <v>0.27142857142857102</v>
      </c>
      <c r="M202" s="12">
        <v>1362588175.37693</v>
      </c>
      <c r="N202" s="13">
        <v>44947477.450759903</v>
      </c>
      <c r="O202" s="4">
        <v>0.22244897959183599</v>
      </c>
      <c r="P202" s="3" t="str">
        <f t="shared" si="3"/>
        <v>10/08 min [26884] (dis： -1426，-5.04% ) (vol_wei_pr：22.24%)</v>
      </c>
    </row>
    <row r="203" spans="1:16" hidden="1" x14ac:dyDescent="0.25">
      <c r="A203" t="s">
        <v>31</v>
      </c>
      <c r="B203" s="10" t="s">
        <v>32</v>
      </c>
      <c r="C203" s="60">
        <v>26821.97</v>
      </c>
      <c r="D203" s="22">
        <v>-1488.5</v>
      </c>
      <c r="E203" s="4">
        <v>-5.2577721245885299E-2</v>
      </c>
      <c r="F203" s="10">
        <v>7</v>
      </c>
      <c r="G203" s="3" t="s">
        <v>112</v>
      </c>
      <c r="H203" s="18">
        <v>45982</v>
      </c>
      <c r="I203" s="21" t="s">
        <v>17</v>
      </c>
      <c r="J203" s="12">
        <v>8853582470</v>
      </c>
      <c r="K203" s="13">
        <v>138840855.572909</v>
      </c>
      <c r="L203" s="4">
        <v>0.22040816326530599</v>
      </c>
      <c r="M203" s="12">
        <v>4130342268.90096</v>
      </c>
      <c r="N203" s="13">
        <v>48625908.325503498</v>
      </c>
      <c r="O203" s="4">
        <v>0.26938775510203999</v>
      </c>
      <c r="P203" s="3" t="str">
        <f t="shared" si="3"/>
        <v>11/21 open [26822] (dis： -1489，-5.26% ) (vol_wei_pr：26.94%)</v>
      </c>
    </row>
    <row r="204" spans="1:16" hidden="1" x14ac:dyDescent="0.25">
      <c r="A204" t="s">
        <v>31</v>
      </c>
      <c r="B204" s="10" t="s">
        <v>32</v>
      </c>
      <c r="C204" s="60">
        <v>26821.97</v>
      </c>
      <c r="D204" s="22">
        <v>-1488.5</v>
      </c>
      <c r="E204" s="4">
        <v>-5.2577721245885299E-2</v>
      </c>
      <c r="F204" s="10">
        <v>7</v>
      </c>
      <c r="G204" s="3" t="s">
        <v>112</v>
      </c>
      <c r="H204" s="18">
        <v>45982</v>
      </c>
      <c r="I204" s="21" t="s">
        <v>15</v>
      </c>
      <c r="J204" s="12">
        <v>8853582470</v>
      </c>
      <c r="K204" s="13">
        <v>138840855.572909</v>
      </c>
      <c r="L204" s="4">
        <v>0.22040816326530599</v>
      </c>
      <c r="M204" s="12">
        <v>4130342268.90096</v>
      </c>
      <c r="N204" s="13">
        <v>48625908.325503498</v>
      </c>
      <c r="O204" s="4">
        <v>0.26938775510203999</v>
      </c>
      <c r="P204" s="3" t="str">
        <f t="shared" si="3"/>
        <v>11/21 max [26822] (dis： -1489，-5.26% ) (vol_wei_pr：26.94%)</v>
      </c>
    </row>
    <row r="205" spans="1:16" hidden="1" x14ac:dyDescent="0.25">
      <c r="A205" t="s">
        <v>31</v>
      </c>
      <c r="B205" s="10" t="s">
        <v>32</v>
      </c>
      <c r="C205" s="60">
        <v>26793.71</v>
      </c>
      <c r="D205" s="22">
        <v>-1516.76</v>
      </c>
      <c r="E205" s="4">
        <v>-5.35759385132073E-2</v>
      </c>
      <c r="F205" s="10">
        <v>7</v>
      </c>
      <c r="G205" s="3" t="s">
        <v>112</v>
      </c>
      <c r="H205" s="18">
        <v>45986</v>
      </c>
      <c r="I205" s="21" t="s">
        <v>19</v>
      </c>
      <c r="J205" s="12">
        <v>6714625759</v>
      </c>
      <c r="K205" s="13">
        <v>138840855.572909</v>
      </c>
      <c r="L205" s="4">
        <v>0.22040816326530599</v>
      </c>
      <c r="M205" s="12">
        <v>3357312879.5</v>
      </c>
      <c r="N205" s="13">
        <v>48625908.325503498</v>
      </c>
      <c r="O205" s="4">
        <v>0.26938775510203999</v>
      </c>
      <c r="P205" s="3" t="str">
        <f t="shared" si="3"/>
        <v>11/25 min [26794] (dis： -1517，-5.36% ) (vol_wei_pr：26.94%)</v>
      </c>
    </row>
    <row r="206" spans="1:16" hidden="1" x14ac:dyDescent="0.25">
      <c r="A206" t="s">
        <v>31</v>
      </c>
      <c r="B206" s="10" t="s">
        <v>32</v>
      </c>
      <c r="C206" s="60">
        <v>26793.15</v>
      </c>
      <c r="D206" s="22">
        <v>-1517.3199999999899</v>
      </c>
      <c r="E206" s="4">
        <v>-5.35957191809249E-2</v>
      </c>
      <c r="F206" s="10">
        <v>6</v>
      </c>
      <c r="G206" s="3" t="s">
        <v>113</v>
      </c>
      <c r="H206" s="18">
        <v>45944</v>
      </c>
      <c r="I206" s="21" t="s">
        <v>16</v>
      </c>
      <c r="J206" s="12">
        <v>12066540173</v>
      </c>
      <c r="K206" s="13">
        <v>118136511.707472</v>
      </c>
      <c r="L206" s="4">
        <v>0.14489795918367299</v>
      </c>
      <c r="M206" s="12">
        <v>2208306108.35531</v>
      </c>
      <c r="N206" s="13">
        <v>38273736.392784901</v>
      </c>
      <c r="O206" s="4">
        <v>0.16530612244897899</v>
      </c>
      <c r="P206" s="3" t="str">
        <f t="shared" si="3"/>
        <v>10/14 close [26793] (dis： -1517，-5.36% ) (vol_wei_pr：16.53%)</v>
      </c>
    </row>
    <row r="207" spans="1:16" hidden="1" x14ac:dyDescent="0.25">
      <c r="A207" t="s">
        <v>31</v>
      </c>
      <c r="B207" s="10" t="s">
        <v>32</v>
      </c>
      <c r="C207" s="60">
        <v>26773.15</v>
      </c>
      <c r="D207" s="22">
        <v>-1537.3199999999899</v>
      </c>
      <c r="E207" s="4">
        <v>-5.4302171599411697E-2</v>
      </c>
      <c r="F207" s="10">
        <v>6</v>
      </c>
      <c r="G207" s="3" t="s">
        <v>113</v>
      </c>
      <c r="H207" s="18">
        <v>45945</v>
      </c>
      <c r="I207" s="21" t="s">
        <v>19</v>
      </c>
      <c r="J207" s="12">
        <v>8387861014</v>
      </c>
      <c r="K207" s="13">
        <v>118136511.707472</v>
      </c>
      <c r="L207" s="4">
        <v>0.14489795918367299</v>
      </c>
      <c r="M207" s="12">
        <v>1589202487.0633099</v>
      </c>
      <c r="N207" s="13">
        <v>38273736.392784901</v>
      </c>
      <c r="O207" s="4">
        <v>0.16530612244897899</v>
      </c>
      <c r="P207" s="3" t="str">
        <f t="shared" si="3"/>
        <v>10/15 min [26773] (dis： -1537，-5.43% ) (vol_wei_pr：16.53%)</v>
      </c>
    </row>
    <row r="208" spans="1:16" hidden="1" x14ac:dyDescent="0.25">
      <c r="A208" t="s">
        <v>31</v>
      </c>
      <c r="B208" s="10" t="s">
        <v>32</v>
      </c>
      <c r="C208" s="60">
        <v>26764.13</v>
      </c>
      <c r="D208" s="22">
        <v>-1546.34</v>
      </c>
      <c r="E208" s="4">
        <v>-5.4620781640149302E-2</v>
      </c>
      <c r="F208" s="10">
        <v>6</v>
      </c>
      <c r="G208" s="3" t="s">
        <v>114</v>
      </c>
      <c r="H208" s="18">
        <v>45985</v>
      </c>
      <c r="I208" s="21" t="s">
        <v>15</v>
      </c>
      <c r="J208" s="12">
        <v>9236525911</v>
      </c>
      <c r="K208" s="13">
        <v>134223127.85018799</v>
      </c>
      <c r="L208" s="4">
        <v>0.19795918367346901</v>
      </c>
      <c r="M208" s="12">
        <v>4460947965.2452698</v>
      </c>
      <c r="N208" s="13">
        <v>50941713.458506599</v>
      </c>
      <c r="O208" s="4">
        <v>0.27959183673469301</v>
      </c>
      <c r="P208" s="3" t="str">
        <f t="shared" si="3"/>
        <v>11/24 max [26764] (dis： -1546，-5.46% ) (vol_wei_pr：27.96%)</v>
      </c>
    </row>
    <row r="209" spans="1:16" hidden="1" x14ac:dyDescent="0.25">
      <c r="A209" t="s">
        <v>31</v>
      </c>
      <c r="B209" s="10" t="s">
        <v>32</v>
      </c>
      <c r="C209" s="60">
        <v>26764.06</v>
      </c>
      <c r="D209" s="22">
        <v>-1546.4099999999901</v>
      </c>
      <c r="E209" s="4">
        <v>-5.4623254223613998E-2</v>
      </c>
      <c r="F209" s="10">
        <v>6</v>
      </c>
      <c r="G209" s="3" t="s">
        <v>114</v>
      </c>
      <c r="H209" s="18">
        <v>45944</v>
      </c>
      <c r="I209" s="21" t="s">
        <v>19</v>
      </c>
      <c r="J209" s="12">
        <v>12066540173</v>
      </c>
      <c r="K209" s="13">
        <v>134223127.85018799</v>
      </c>
      <c r="L209" s="4">
        <v>0.19795918367346901</v>
      </c>
      <c r="M209" s="12">
        <v>2208306108.35531</v>
      </c>
      <c r="N209" s="13">
        <v>50941713.458506599</v>
      </c>
      <c r="O209" s="4">
        <v>0.27959183673469301</v>
      </c>
      <c r="P209" s="3" t="str">
        <f t="shared" si="3"/>
        <v>10/14 min [26764] (dis： -1546，-5.46% ) (vol_wei_pr：27.96%)</v>
      </c>
    </row>
    <row r="210" spans="1:16" hidden="1" x14ac:dyDescent="0.25">
      <c r="A210" t="s">
        <v>31</v>
      </c>
      <c r="B210" s="10" t="s">
        <v>32</v>
      </c>
      <c r="C210" s="60">
        <v>26762.6</v>
      </c>
      <c r="D210" s="22">
        <v>-1547.87</v>
      </c>
      <c r="E210" s="4">
        <v>-5.4674825250163699E-2</v>
      </c>
      <c r="F210" s="10">
        <v>5</v>
      </c>
      <c r="G210" s="3" t="s">
        <v>115</v>
      </c>
      <c r="H210" s="18">
        <v>45943</v>
      </c>
      <c r="I210" s="21" t="s">
        <v>17</v>
      </c>
      <c r="J210" s="12">
        <v>10191083804</v>
      </c>
      <c r="K210" s="13">
        <v>117985016.999697</v>
      </c>
      <c r="L210" s="4">
        <v>0.13877551020408099</v>
      </c>
      <c r="M210" s="12">
        <v>1801546116.36219</v>
      </c>
      <c r="N210" s="13">
        <v>47969965.230333701</v>
      </c>
      <c r="O210" s="4">
        <v>0.261224489795918</v>
      </c>
      <c r="P210" s="3" t="str">
        <f t="shared" si="3"/>
        <v>10/13 open [26763] (dis： -1548，-5.47% ) (vol_wei_pr：26.12%)</v>
      </c>
    </row>
    <row r="211" spans="1:16" hidden="1" x14ac:dyDescent="0.25">
      <c r="A211" t="s">
        <v>31</v>
      </c>
      <c r="B211" s="10" t="s">
        <v>32</v>
      </c>
      <c r="C211" s="60">
        <v>26761.06</v>
      </c>
      <c r="D211" s="22">
        <v>-1549.4099999999901</v>
      </c>
      <c r="E211" s="4">
        <v>-5.47292220863871E-2</v>
      </c>
      <c r="F211" s="10">
        <v>6</v>
      </c>
      <c r="G211" s="3" t="s">
        <v>116</v>
      </c>
      <c r="H211" s="18">
        <v>45933</v>
      </c>
      <c r="I211" s="21" t="s">
        <v>16</v>
      </c>
      <c r="J211" s="12">
        <v>7784825692</v>
      </c>
      <c r="K211" s="13">
        <v>140162112.096982</v>
      </c>
      <c r="L211" s="4">
        <v>0.23469387755102</v>
      </c>
      <c r="M211" s="12">
        <v>1198030582.4462199</v>
      </c>
      <c r="N211" s="13">
        <v>51382866.071988903</v>
      </c>
      <c r="O211" s="4">
        <v>0.32040816326530602</v>
      </c>
      <c r="P211" s="3" t="str">
        <f t="shared" si="3"/>
        <v>10/03 close [26761] (dis： -1549，-5.47% ) (vol_wei_pr：32.04%)</v>
      </c>
    </row>
    <row r="212" spans="1:16" hidden="1" x14ac:dyDescent="0.25">
      <c r="A212" t="s">
        <v>31</v>
      </c>
      <c r="B212" s="10" t="s">
        <v>32</v>
      </c>
      <c r="C212" s="60">
        <v>26761.06</v>
      </c>
      <c r="D212" s="22">
        <v>-1549.4099999999901</v>
      </c>
      <c r="E212" s="4">
        <v>-5.47292220863871E-2</v>
      </c>
      <c r="F212" s="10">
        <v>6</v>
      </c>
      <c r="G212" s="3" t="s">
        <v>116</v>
      </c>
      <c r="H212" s="18">
        <v>45933</v>
      </c>
      <c r="I212" s="21" t="s">
        <v>15</v>
      </c>
      <c r="J212" s="12">
        <v>7784825692</v>
      </c>
      <c r="K212" s="13">
        <v>140162112.096982</v>
      </c>
      <c r="L212" s="4">
        <v>0.23469387755102</v>
      </c>
      <c r="M212" s="12">
        <v>1198030582.4462199</v>
      </c>
      <c r="N212" s="13">
        <v>51382866.071988903</v>
      </c>
      <c r="O212" s="4">
        <v>0.32040816326530602</v>
      </c>
      <c r="P212" s="3" t="str">
        <f t="shared" si="3"/>
        <v>10/03 max [26761] (dis： -1549，-5.47% ) (vol_wei_pr：32.04%)</v>
      </c>
    </row>
    <row r="213" spans="1:16" hidden="1" x14ac:dyDescent="0.25">
      <c r="A213" t="s">
        <v>31</v>
      </c>
      <c r="B213" s="10" t="s">
        <v>32</v>
      </c>
      <c r="C213" s="60">
        <v>26756.12</v>
      </c>
      <c r="D213" s="22">
        <v>-1554.35</v>
      </c>
      <c r="E213" s="4">
        <v>-5.4903715833753398E-2</v>
      </c>
      <c r="F213" s="10">
        <v>6</v>
      </c>
      <c r="G213" s="3" t="s">
        <v>116</v>
      </c>
      <c r="H213" s="18">
        <v>45979</v>
      </c>
      <c r="I213" s="21" t="s">
        <v>16</v>
      </c>
      <c r="J213" s="12">
        <v>10450443082</v>
      </c>
      <c r="K213" s="13">
        <v>140162112.096982</v>
      </c>
      <c r="L213" s="4">
        <v>0.23469387755102</v>
      </c>
      <c r="M213" s="12">
        <v>4393870062.7333899</v>
      </c>
      <c r="N213" s="13">
        <v>51382866.071988903</v>
      </c>
      <c r="O213" s="4">
        <v>0.32040816326530602</v>
      </c>
      <c r="P213" s="3" t="str">
        <f t="shared" si="3"/>
        <v>11/18 close [26756] (dis： -1554，-5.49% ) (vol_wei_pr：32.04%)</v>
      </c>
    </row>
    <row r="214" spans="1:16" hidden="1" x14ac:dyDescent="0.25">
      <c r="A214" t="s">
        <v>31</v>
      </c>
      <c r="B214" s="10" t="s">
        <v>32</v>
      </c>
      <c r="C214" s="60">
        <v>26756.12</v>
      </c>
      <c r="D214" s="22">
        <v>-1554.35</v>
      </c>
      <c r="E214" s="4">
        <v>-5.4903715833753398E-2</v>
      </c>
      <c r="F214" s="10">
        <v>6</v>
      </c>
      <c r="G214" s="3" t="s">
        <v>116</v>
      </c>
      <c r="H214" s="18">
        <v>45979</v>
      </c>
      <c r="I214" s="21" t="s">
        <v>19</v>
      </c>
      <c r="J214" s="12">
        <v>10450443082</v>
      </c>
      <c r="K214" s="13">
        <v>140162112.096982</v>
      </c>
      <c r="L214" s="4">
        <v>0.23469387755102</v>
      </c>
      <c r="M214" s="12">
        <v>4393870062.7333899</v>
      </c>
      <c r="N214" s="13">
        <v>51382866.071988903</v>
      </c>
      <c r="O214" s="4">
        <v>0.32040816326530602</v>
      </c>
      <c r="P214" s="3" t="str">
        <f t="shared" si="3"/>
        <v>11/18 min [26756] (dis： -1554，-5.49% ) (vol_wei_pr：32.04%)</v>
      </c>
    </row>
    <row r="215" spans="1:16" hidden="1" x14ac:dyDescent="0.25">
      <c r="A215" t="s">
        <v>31</v>
      </c>
      <c r="B215" s="10" t="s">
        <v>32</v>
      </c>
      <c r="C215" s="60">
        <v>26708.28</v>
      </c>
      <c r="D215" s="22">
        <v>-1602.19</v>
      </c>
      <c r="E215" s="4">
        <v>-5.6593550018774003E-2</v>
      </c>
      <c r="F215" s="10">
        <v>5</v>
      </c>
      <c r="G215" s="3" t="s">
        <v>25</v>
      </c>
      <c r="H215" s="18">
        <v>45980</v>
      </c>
      <c r="I215" s="21" t="s">
        <v>17</v>
      </c>
      <c r="J215" s="12">
        <v>8069342681</v>
      </c>
      <c r="K215" s="13">
        <v>121308025.566708</v>
      </c>
      <c r="L215" s="4">
        <v>0.157142857142857</v>
      </c>
      <c r="M215" s="12">
        <v>3512385408.1869998</v>
      </c>
      <c r="N215" s="13">
        <v>43455699.183893703</v>
      </c>
      <c r="O215" s="4">
        <v>0.210204081632653</v>
      </c>
      <c r="P215" s="3" t="str">
        <f t="shared" si="3"/>
        <v>11/19 open [26708] (dis： -1602，-5.66% ) (vol_wei_pr：21.02%)</v>
      </c>
    </row>
    <row r="216" spans="1:16" hidden="1" x14ac:dyDescent="0.25">
      <c r="A216" t="s">
        <v>31</v>
      </c>
      <c r="B216" s="10" t="s">
        <v>32</v>
      </c>
      <c r="C216" s="60">
        <v>26596.03</v>
      </c>
      <c r="D216" s="22">
        <v>-1714.44</v>
      </c>
      <c r="E216" s="4">
        <v>-6.0558514217531598E-2</v>
      </c>
      <c r="F216" s="10">
        <v>5</v>
      </c>
      <c r="G216" s="3" t="s">
        <v>25</v>
      </c>
      <c r="H216" s="18">
        <v>45985</v>
      </c>
      <c r="I216" s="21" t="s">
        <v>17</v>
      </c>
      <c r="J216" s="12">
        <v>9236525911</v>
      </c>
      <c r="K216" s="13">
        <v>121308025.566708</v>
      </c>
      <c r="L216" s="4">
        <v>0.157142857142857</v>
      </c>
      <c r="M216" s="12">
        <v>4460947965.2452698</v>
      </c>
      <c r="N216" s="13">
        <v>43455699.183893703</v>
      </c>
      <c r="O216" s="4">
        <v>0.210204081632653</v>
      </c>
      <c r="P216" s="3" t="str">
        <f t="shared" si="3"/>
        <v>11/24 open [26596] (dis： -1714，-6.06% ) (vol_wei_pr：21.02%)</v>
      </c>
    </row>
    <row r="217" spans="1:16" hidden="1" x14ac:dyDescent="0.25">
      <c r="A217" t="s">
        <v>31</v>
      </c>
      <c r="B217" s="10" t="s">
        <v>32</v>
      </c>
      <c r="C217" s="60">
        <v>26580.12</v>
      </c>
      <c r="D217" s="22">
        <v>-1730.35</v>
      </c>
      <c r="E217" s="4">
        <v>-6.1120497116437897E-2</v>
      </c>
      <c r="F217" s="10">
        <v>5</v>
      </c>
      <c r="G217" s="3" t="s">
        <v>25</v>
      </c>
      <c r="H217" s="18">
        <v>45980</v>
      </c>
      <c r="I217" s="21" t="s">
        <v>16</v>
      </c>
      <c r="J217" s="12">
        <v>8069342681</v>
      </c>
      <c r="K217" s="13">
        <v>121308025.566708</v>
      </c>
      <c r="L217" s="4">
        <v>0.157142857142857</v>
      </c>
      <c r="M217" s="12">
        <v>3512385408.1869998</v>
      </c>
      <c r="N217" s="13">
        <v>43455699.183893703</v>
      </c>
      <c r="O217" s="4">
        <v>0.210204081632653</v>
      </c>
      <c r="P217" s="3" t="str">
        <f t="shared" si="3"/>
        <v>11/19 close [26580] (dis： -1730，-6.11% ) (vol_wei_pr：21.02%)</v>
      </c>
    </row>
    <row r="218" spans="1:16" hidden="1" x14ac:dyDescent="0.25">
      <c r="A218" t="s">
        <v>31</v>
      </c>
      <c r="B218" s="10" t="s">
        <v>32</v>
      </c>
      <c r="C218" s="60">
        <v>26580.12</v>
      </c>
      <c r="D218" s="22">
        <v>-1730.35</v>
      </c>
      <c r="E218" s="4">
        <v>-6.1120497116437897E-2</v>
      </c>
      <c r="F218" s="10">
        <v>5</v>
      </c>
      <c r="G218" s="3" t="s">
        <v>25</v>
      </c>
      <c r="H218" s="18">
        <v>45980</v>
      </c>
      <c r="I218" s="21" t="s">
        <v>19</v>
      </c>
      <c r="J218" s="12">
        <v>8069342681</v>
      </c>
      <c r="K218" s="13">
        <v>121308025.566708</v>
      </c>
      <c r="L218" s="4">
        <v>0.157142857142857</v>
      </c>
      <c r="M218" s="12">
        <v>3512385408.1869998</v>
      </c>
      <c r="N218" s="13">
        <v>43455699.183893703</v>
      </c>
      <c r="O218" s="4">
        <v>0.210204081632653</v>
      </c>
      <c r="P218" s="3" t="str">
        <f t="shared" si="3"/>
        <v>11/19 min [26580] (dis： -1730，-6.11% ) (vol_wei_pr：21.02%)</v>
      </c>
    </row>
    <row r="219" spans="1:16" hidden="1" x14ac:dyDescent="0.25">
      <c r="A219" t="s">
        <v>31</v>
      </c>
      <c r="B219" s="10" t="s">
        <v>32</v>
      </c>
      <c r="C219" s="60">
        <v>26504.240000000002</v>
      </c>
      <c r="D219" s="22">
        <v>-1806.22999999999</v>
      </c>
      <c r="E219" s="4">
        <v>-6.3800777592177005E-2</v>
      </c>
      <c r="F219" s="10">
        <v>4</v>
      </c>
      <c r="G219" s="3" t="s">
        <v>26</v>
      </c>
      <c r="H219" s="18">
        <v>45985</v>
      </c>
      <c r="I219" s="21" t="s">
        <v>16</v>
      </c>
      <c r="J219" s="12">
        <v>9236525911</v>
      </c>
      <c r="K219" s="13">
        <v>96313933.3226327</v>
      </c>
      <c r="L219" s="4">
        <v>0.118367346938775</v>
      </c>
      <c r="M219" s="12">
        <v>4460947965.2452698</v>
      </c>
      <c r="N219" s="13">
        <v>32576388.642815899</v>
      </c>
      <c r="O219" s="4">
        <v>0.130612244897959</v>
      </c>
      <c r="P219" s="3" t="str">
        <f t="shared" si="3"/>
        <v>11/24 close [26504] (dis： -1806，-6.38% ) (vol_wei_pr：13.06%)</v>
      </c>
    </row>
    <row r="220" spans="1:16" hidden="1" x14ac:dyDescent="0.25">
      <c r="A220" t="s">
        <v>31</v>
      </c>
      <c r="B220" s="10" t="s">
        <v>32</v>
      </c>
      <c r="C220" s="60">
        <v>26489.79</v>
      </c>
      <c r="D220" s="22">
        <v>-1820.68</v>
      </c>
      <c r="E220" s="4">
        <v>-6.4311189464533805E-2</v>
      </c>
      <c r="F220" s="10">
        <v>5</v>
      </c>
      <c r="G220" s="3" t="s">
        <v>117</v>
      </c>
      <c r="H220" s="18">
        <v>45932</v>
      </c>
      <c r="I220" s="21" t="s">
        <v>15</v>
      </c>
      <c r="J220" s="12">
        <v>8085314896</v>
      </c>
      <c r="K220" s="13">
        <v>146992853.31761801</v>
      </c>
      <c r="L220" s="4">
        <v>0.26326530612244797</v>
      </c>
      <c r="M220" s="12">
        <v>1201889250.1700799</v>
      </c>
      <c r="N220" s="13">
        <v>40109855.1726522</v>
      </c>
      <c r="O220" s="4">
        <v>0.17346938775510201</v>
      </c>
      <c r="P220" s="3" t="str">
        <f t="shared" si="3"/>
        <v>10/02 max [26490] (dis： -1821，-6.43% ) (vol_wei_pr：17.35%)</v>
      </c>
    </row>
    <row r="221" spans="1:16" hidden="1" x14ac:dyDescent="0.25">
      <c r="A221" t="s">
        <v>31</v>
      </c>
      <c r="B221" s="10" t="s">
        <v>32</v>
      </c>
      <c r="C221" s="60">
        <v>26482.33</v>
      </c>
      <c r="D221" s="22">
        <v>-1828.1399999999901</v>
      </c>
      <c r="E221" s="4">
        <v>-6.4574696216629299E-2</v>
      </c>
      <c r="F221" s="10">
        <v>5</v>
      </c>
      <c r="G221" s="3" t="s">
        <v>117</v>
      </c>
      <c r="H221" s="18">
        <v>45985</v>
      </c>
      <c r="I221" s="21" t="s">
        <v>19</v>
      </c>
      <c r="J221" s="12">
        <v>9236525911</v>
      </c>
      <c r="K221" s="13">
        <v>146992853.31761801</v>
      </c>
      <c r="L221" s="4">
        <v>0.26326530612244797</v>
      </c>
      <c r="M221" s="12">
        <v>4460947965.2452698</v>
      </c>
      <c r="N221" s="13">
        <v>40109855.1726522</v>
      </c>
      <c r="O221" s="4">
        <v>0.17346938775510201</v>
      </c>
      <c r="P221" s="3" t="str">
        <f t="shared" si="3"/>
        <v>11/24 min [26482] (dis： -1828，-6.46% ) (vol_wei_pr：17.35%)</v>
      </c>
    </row>
    <row r="222" spans="1:16" hidden="1" x14ac:dyDescent="0.25">
      <c r="A222" t="s">
        <v>31</v>
      </c>
      <c r="B222" s="10" t="s">
        <v>32</v>
      </c>
      <c r="C222" s="60">
        <v>26470.44</v>
      </c>
      <c r="D222" s="22">
        <v>-1840.03</v>
      </c>
      <c r="E222" s="4">
        <v>-6.4994682179419894E-2</v>
      </c>
      <c r="F222" s="10">
        <v>4</v>
      </c>
      <c r="G222" s="3" t="s">
        <v>118</v>
      </c>
      <c r="H222" s="18">
        <v>45943</v>
      </c>
      <c r="I222" s="21" t="s">
        <v>19</v>
      </c>
      <c r="J222" s="12">
        <v>10191083804</v>
      </c>
      <c r="K222" s="13">
        <v>114215969.31832699</v>
      </c>
      <c r="L222" s="4">
        <v>0.13469387755102</v>
      </c>
      <c r="M222" s="12">
        <v>1801546116.36219</v>
      </c>
      <c r="N222" s="13">
        <v>24279663.670717102</v>
      </c>
      <c r="O222" s="4">
        <v>0.114285714285714</v>
      </c>
      <c r="P222" s="3" t="str">
        <f t="shared" si="3"/>
        <v>10/13 min [26470] (dis： -1840，-6.50% ) (vol_wei_pr：11.43%)</v>
      </c>
    </row>
    <row r="223" spans="1:16" hidden="1" x14ac:dyDescent="0.25">
      <c r="A223" t="s">
        <v>31</v>
      </c>
      <c r="B223" s="10" t="s">
        <v>32</v>
      </c>
      <c r="C223" s="60">
        <v>26435.1</v>
      </c>
      <c r="D223" s="22">
        <v>-1875.37</v>
      </c>
      <c r="E223" s="4">
        <v>-6.6242983602886205E-2</v>
      </c>
      <c r="F223" s="10">
        <v>3</v>
      </c>
      <c r="G223" s="3" t="s">
        <v>119</v>
      </c>
      <c r="H223" s="18">
        <v>45933</v>
      </c>
      <c r="I223" s="21" t="s">
        <v>17</v>
      </c>
      <c r="J223" s="12">
        <v>7784825692</v>
      </c>
      <c r="K223" s="13">
        <v>93639560.410235405</v>
      </c>
      <c r="L223" s="4">
        <v>0.11020408163265299</v>
      </c>
      <c r="M223" s="12">
        <v>1198030582.4462199</v>
      </c>
      <c r="N223" s="13">
        <v>20642234.102872301</v>
      </c>
      <c r="O223" s="4">
        <v>0.10204081632653</v>
      </c>
      <c r="P223" s="3" t="str">
        <f t="shared" si="3"/>
        <v>10/03 open [26435] (dis： -1875，-6.62% ) (vol_wei_pr：10.20%)</v>
      </c>
    </row>
    <row r="224" spans="1:16" hidden="1" x14ac:dyDescent="0.25">
      <c r="A224" t="s">
        <v>31</v>
      </c>
      <c r="B224" s="10" t="s">
        <v>32</v>
      </c>
      <c r="C224" s="60">
        <v>26434.94</v>
      </c>
      <c r="D224" s="22">
        <v>-1875.53</v>
      </c>
      <c r="E224" s="4">
        <v>-6.6248635222234106E-2</v>
      </c>
      <c r="F224" s="10">
        <v>3</v>
      </c>
      <c r="G224" s="3" t="s">
        <v>119</v>
      </c>
      <c r="H224" s="18">
        <v>45982</v>
      </c>
      <c r="I224" s="21" t="s">
        <v>16</v>
      </c>
      <c r="J224" s="12">
        <v>8853582470</v>
      </c>
      <c r="K224" s="13">
        <v>93639560.410235405</v>
      </c>
      <c r="L224" s="4">
        <v>0.11020408163265299</v>
      </c>
      <c r="M224" s="12">
        <v>4130342268.90096</v>
      </c>
      <c r="N224" s="13">
        <v>20642234.102872301</v>
      </c>
      <c r="O224" s="4">
        <v>0.10204081632653</v>
      </c>
      <c r="P224" s="3" t="str">
        <f t="shared" si="3"/>
        <v>11/21 close [26435] (dis： -1876，-6.62% ) (vol_wei_pr：10.20%)</v>
      </c>
    </row>
    <row r="225" spans="1:16" hidden="1" x14ac:dyDescent="0.25">
      <c r="A225" t="s">
        <v>31</v>
      </c>
      <c r="B225" s="10" t="s">
        <v>32</v>
      </c>
      <c r="C225" s="60">
        <v>26410.03</v>
      </c>
      <c r="D225" s="22">
        <v>-1900.44</v>
      </c>
      <c r="E225" s="4">
        <v>-6.7128521709459502E-2</v>
      </c>
      <c r="F225" s="10">
        <v>3</v>
      </c>
      <c r="G225" s="3" t="s">
        <v>119</v>
      </c>
      <c r="H225" s="18">
        <v>45933</v>
      </c>
      <c r="I225" s="21" t="s">
        <v>19</v>
      </c>
      <c r="J225" s="12">
        <v>7784825692</v>
      </c>
      <c r="K225" s="13">
        <v>93639560.410235405</v>
      </c>
      <c r="L225" s="4">
        <v>0.11020408163265299</v>
      </c>
      <c r="M225" s="12">
        <v>1198030582.4462199</v>
      </c>
      <c r="N225" s="13">
        <v>20642234.102872301</v>
      </c>
      <c r="O225" s="4">
        <v>0.10204081632653</v>
      </c>
      <c r="P225" s="3" t="str">
        <f t="shared" si="3"/>
        <v>10/03 min [26410] (dis： -1900，-6.71% ) (vol_wei_pr：10.20%)</v>
      </c>
    </row>
    <row r="226" spans="1:16" hidden="1" x14ac:dyDescent="0.25">
      <c r="A226" t="s">
        <v>31</v>
      </c>
      <c r="B226" s="10" t="s">
        <v>32</v>
      </c>
      <c r="C226" s="60">
        <v>26395.98</v>
      </c>
      <c r="D226" s="22">
        <v>-1914.49</v>
      </c>
      <c r="E226" s="4">
        <v>-6.7624804533446506E-2</v>
      </c>
      <c r="F226" s="10">
        <v>2</v>
      </c>
      <c r="G226" s="3" t="s">
        <v>120</v>
      </c>
      <c r="H226" s="18">
        <v>45982</v>
      </c>
      <c r="I226" s="21" t="s">
        <v>19</v>
      </c>
      <c r="J226" s="12">
        <v>8853582470</v>
      </c>
      <c r="K226" s="13">
        <v>71462465.312950402</v>
      </c>
      <c r="L226" s="4">
        <v>9.7959183673469299E-2</v>
      </c>
      <c r="M226" s="12">
        <v>4130342268.90096</v>
      </c>
      <c r="N226" s="13">
        <v>17229333.261217099</v>
      </c>
      <c r="O226" s="4">
        <v>9.3877551020408095E-2</v>
      </c>
      <c r="P226" s="3" t="str">
        <f t="shared" si="3"/>
        <v>11/21 min [26396] (dis： -1914，-6.76% ) (vol_wei_pr：9.39%)</v>
      </c>
    </row>
    <row r="227" spans="1:16" hidden="1" x14ac:dyDescent="0.25">
      <c r="A227" t="s">
        <v>31</v>
      </c>
      <c r="B227" s="10" t="s">
        <v>32</v>
      </c>
      <c r="C227" s="60">
        <v>26392.31</v>
      </c>
      <c r="D227" s="22">
        <v>-1918.1599999999901</v>
      </c>
      <c r="E227" s="4">
        <v>-6.7754438552238797E-2</v>
      </c>
      <c r="F227" s="10">
        <v>1</v>
      </c>
      <c r="G227" s="3">
        <v>20251002</v>
      </c>
      <c r="H227" s="18">
        <v>45932</v>
      </c>
      <c r="I227" s="21" t="s">
        <v>17</v>
      </c>
      <c r="J227" s="12">
        <v>8085314896</v>
      </c>
      <c r="K227" s="13">
        <v>50678919.994985297</v>
      </c>
      <c r="L227" s="4">
        <v>6.5306122448979598E-2</v>
      </c>
      <c r="M227" s="12">
        <v>1201889250.1700799</v>
      </c>
      <c r="N227" s="13">
        <v>7533466.52983627</v>
      </c>
      <c r="O227" s="4">
        <v>5.7142857142857099E-2</v>
      </c>
      <c r="P227" s="3" t="str">
        <f t="shared" si="3"/>
        <v>10/02 open [26392] (dis： -1918，-6.78% ) (vol_wei_pr：5.71%)</v>
      </c>
    </row>
    <row r="228" spans="1:16" hidden="1" x14ac:dyDescent="0.25">
      <c r="A228" t="s">
        <v>31</v>
      </c>
      <c r="B228" s="10" t="s">
        <v>32</v>
      </c>
      <c r="C228" s="60">
        <v>26378.39</v>
      </c>
      <c r="D228" s="22">
        <v>-1932.08</v>
      </c>
      <c r="E228" s="4">
        <v>-6.8246129435505704E-2</v>
      </c>
      <c r="F228" s="10">
        <v>1</v>
      </c>
      <c r="G228" s="3">
        <v>20251002</v>
      </c>
      <c r="H228" s="18">
        <v>45932</v>
      </c>
      <c r="I228" s="21" t="s">
        <v>16</v>
      </c>
      <c r="J228" s="12">
        <v>8085314896</v>
      </c>
      <c r="K228" s="13">
        <v>50678919.994985297</v>
      </c>
      <c r="L228" s="4">
        <v>6.5306122448979598E-2</v>
      </c>
      <c r="M228" s="12">
        <v>1201889250.1700799</v>
      </c>
      <c r="N228" s="13">
        <v>7533466.52983627</v>
      </c>
      <c r="O228" s="4">
        <v>5.7142857142857099E-2</v>
      </c>
      <c r="P228" s="3" t="str">
        <f t="shared" si="3"/>
        <v>10/02 close [26378] (dis： -1932，-6.82% ) (vol_wei_pr：5.71%)</v>
      </c>
    </row>
    <row r="229" spans="1:16" hidden="1" x14ac:dyDescent="0.25">
      <c r="A229" t="s">
        <v>31</v>
      </c>
      <c r="B229" s="10" t="s">
        <v>32</v>
      </c>
      <c r="C229" s="60">
        <v>26330.25</v>
      </c>
      <c r="D229" s="22">
        <v>-1980.22</v>
      </c>
      <c r="E229" s="4">
        <v>-6.9946560406803596E-2</v>
      </c>
      <c r="F229" s="10">
        <v>1</v>
      </c>
      <c r="G229" s="3">
        <v>20251002</v>
      </c>
      <c r="H229" s="18">
        <v>45932</v>
      </c>
      <c r="I229" s="21" t="s">
        <v>19</v>
      </c>
      <c r="J229" s="12">
        <v>8085314896</v>
      </c>
      <c r="K229" s="13">
        <v>50678919.994985297</v>
      </c>
      <c r="L229" s="4">
        <v>6.5306122448979598E-2</v>
      </c>
      <c r="M229" s="12">
        <v>1201889250.1700799</v>
      </c>
      <c r="N229" s="13">
        <v>7533466.52983627</v>
      </c>
      <c r="O229" s="4">
        <v>5.7142857142857099E-2</v>
      </c>
      <c r="P229" s="3" t="str">
        <f t="shared" si="3"/>
        <v>10/02 min [26330] (dis： -1980，-6.99% ) (vol_wei_pr：5.71%)</v>
      </c>
    </row>
    <row r="230" spans="1:16" hidden="1" x14ac:dyDescent="0.25">
      <c r="A230" t="s">
        <v>31</v>
      </c>
      <c r="B230" s="10" t="s">
        <v>32</v>
      </c>
      <c r="C230" s="60">
        <v>26325.79</v>
      </c>
      <c r="D230" s="22">
        <v>-1984.68</v>
      </c>
      <c r="E230" s="4">
        <v>-7.0104099296126099E-2</v>
      </c>
      <c r="F230" s="10">
        <v>1</v>
      </c>
      <c r="G230" s="3">
        <v>20251001</v>
      </c>
      <c r="H230" s="18">
        <v>45931</v>
      </c>
      <c r="I230" s="21" t="s">
        <v>15</v>
      </c>
      <c r="J230" s="12">
        <v>7679791251</v>
      </c>
      <c r="K230" s="13">
        <v>22397897.955552898</v>
      </c>
      <c r="L230" s="4">
        <v>1.6326530612244899E-2</v>
      </c>
      <c r="M230" s="12">
        <v>1102720447.09304</v>
      </c>
      <c r="N230" s="13">
        <v>3216053.5671168799</v>
      </c>
      <c r="O230" s="4">
        <v>1.22448979591836E-2</v>
      </c>
      <c r="P230" s="3" t="str">
        <f t="shared" si="3"/>
        <v>10/01 max [26326] (dis： -1985，-7.01% ) (vol_wei_pr：1.22%)</v>
      </c>
    </row>
    <row r="231" spans="1:16" hidden="1" x14ac:dyDescent="0.25">
      <c r="A231" t="s">
        <v>31</v>
      </c>
      <c r="B231" s="10" t="s">
        <v>32</v>
      </c>
      <c r="C231" s="60">
        <v>26247.85</v>
      </c>
      <c r="D231" s="22">
        <v>-2062.62</v>
      </c>
      <c r="E231" s="4">
        <v>-7.2857144370969504E-2</v>
      </c>
      <c r="F231" s="10">
        <v>2</v>
      </c>
      <c r="G231" s="3" t="s">
        <v>27</v>
      </c>
      <c r="H231" s="18">
        <v>45925</v>
      </c>
      <c r="I231" s="21" t="s">
        <v>15</v>
      </c>
      <c r="J231" s="12">
        <v>8846470892</v>
      </c>
      <c r="K231" s="13">
        <v>61891071.580552898</v>
      </c>
      <c r="L231" s="4">
        <v>8.5714285714285701E-2</v>
      </c>
      <c r="M231" s="12">
        <v>1144805126.78391</v>
      </c>
      <c r="N231" s="13">
        <v>8326790.7402593698</v>
      </c>
      <c r="O231" s="4">
        <v>7.3469387755102006E-2</v>
      </c>
      <c r="P231" s="3" t="str">
        <f t="shared" si="3"/>
        <v>09/25 max [26248] (dis： -2063，-7.29% ) (vol_wei_pr：7.35%)</v>
      </c>
    </row>
    <row r="232" spans="1:16" hidden="1" x14ac:dyDescent="0.25">
      <c r="A232" t="s">
        <v>31</v>
      </c>
      <c r="B232" s="10" t="s">
        <v>32</v>
      </c>
      <c r="C232" s="60">
        <v>26078.29</v>
      </c>
      <c r="D232" s="22">
        <v>-2232.1799999999998</v>
      </c>
      <c r="E232" s="4">
        <v>-7.8846447974901104E-2</v>
      </c>
      <c r="F232" s="10">
        <v>2</v>
      </c>
      <c r="G232" s="3" t="s">
        <v>27</v>
      </c>
      <c r="H232" s="18">
        <v>45931</v>
      </c>
      <c r="I232" s="21" t="s">
        <v>17</v>
      </c>
      <c r="J232" s="12">
        <v>7679791251</v>
      </c>
      <c r="K232" s="13">
        <v>61891071.580552898</v>
      </c>
      <c r="L232" s="4">
        <v>8.5714285714285701E-2</v>
      </c>
      <c r="M232" s="12">
        <v>1102720447.09304</v>
      </c>
      <c r="N232" s="13">
        <v>8326790.7402593698</v>
      </c>
      <c r="O232" s="4">
        <v>7.3469387755102006E-2</v>
      </c>
      <c r="P232" s="3" t="str">
        <f t="shared" si="3"/>
        <v>10/01 open [26078] (dis： -2232，-7.88% ) (vol_wei_pr：7.35%)</v>
      </c>
    </row>
    <row r="233" spans="1:16" hidden="1" x14ac:dyDescent="0.25">
      <c r="A233" t="s">
        <v>31</v>
      </c>
      <c r="B233" s="10" t="s">
        <v>32</v>
      </c>
      <c r="C233" s="60">
        <v>26067.97</v>
      </c>
      <c r="D233" s="22">
        <v>-2242.5</v>
      </c>
      <c r="E233" s="4">
        <v>-7.9210977422840306E-2</v>
      </c>
      <c r="F233" s="10">
        <v>2</v>
      </c>
      <c r="G233" s="3" t="s">
        <v>27</v>
      </c>
      <c r="H233" s="18">
        <v>45925</v>
      </c>
      <c r="I233" s="21" t="s">
        <v>17</v>
      </c>
      <c r="J233" s="12">
        <v>8846470892</v>
      </c>
      <c r="K233" s="13">
        <v>61891071.580552898</v>
      </c>
      <c r="L233" s="4">
        <v>8.5714285714285701E-2</v>
      </c>
      <c r="M233" s="12">
        <v>1144805126.78391</v>
      </c>
      <c r="N233" s="13">
        <v>8326790.7402593698</v>
      </c>
      <c r="O233" s="4">
        <v>7.3469387755102006E-2</v>
      </c>
      <c r="P233" s="3" t="str">
        <f t="shared" si="3"/>
        <v>09/25 open [26068] (dis： -2243，-7.92% ) (vol_wei_pr：7.35%)</v>
      </c>
    </row>
    <row r="234" spans="1:16" hidden="1" x14ac:dyDescent="0.25">
      <c r="A234" t="s">
        <v>31</v>
      </c>
      <c r="B234" s="10" t="s">
        <v>32</v>
      </c>
      <c r="C234" s="60">
        <v>26023.85</v>
      </c>
      <c r="D234" s="22">
        <v>-2286.62</v>
      </c>
      <c r="E234" s="4">
        <v>-8.0769411458022494E-2</v>
      </c>
      <c r="F234" s="10">
        <v>2</v>
      </c>
      <c r="G234" s="3" t="s">
        <v>27</v>
      </c>
      <c r="H234" s="18">
        <v>45925</v>
      </c>
      <c r="I234" s="21" t="s">
        <v>16</v>
      </c>
      <c r="J234" s="12">
        <v>8846470892</v>
      </c>
      <c r="K234" s="13">
        <v>61891071.580552898</v>
      </c>
      <c r="L234" s="4">
        <v>8.5714285714285701E-2</v>
      </c>
      <c r="M234" s="12">
        <v>1144805126.78391</v>
      </c>
      <c r="N234" s="13">
        <v>8326790.7402593698</v>
      </c>
      <c r="O234" s="4">
        <v>7.3469387755102006E-2</v>
      </c>
      <c r="P234" s="3" t="str">
        <f t="shared" si="3"/>
        <v>09/25 close [26024] (dis： -2287，-8.08% ) (vol_wei_pr：7.35%)</v>
      </c>
    </row>
    <row r="235" spans="1:16" hidden="1" x14ac:dyDescent="0.25">
      <c r="A235" t="s">
        <v>31</v>
      </c>
      <c r="B235" s="10" t="s">
        <v>32</v>
      </c>
      <c r="C235" s="60">
        <v>26023.85</v>
      </c>
      <c r="D235" s="22">
        <v>-2286.62</v>
      </c>
      <c r="E235" s="4">
        <v>-8.0769411458022494E-2</v>
      </c>
      <c r="F235" s="10">
        <v>2</v>
      </c>
      <c r="G235" s="3" t="s">
        <v>27</v>
      </c>
      <c r="H235" s="18">
        <v>45925</v>
      </c>
      <c r="I235" s="21" t="s">
        <v>19</v>
      </c>
      <c r="J235" s="12">
        <v>8846470892</v>
      </c>
      <c r="K235" s="13">
        <v>61891071.580552898</v>
      </c>
      <c r="L235" s="4">
        <v>8.5714285714285701E-2</v>
      </c>
      <c r="M235" s="12">
        <v>1144805126.78391</v>
      </c>
      <c r="N235" s="13">
        <v>8326790.7402593698</v>
      </c>
      <c r="O235" s="4">
        <v>7.3469387755102006E-2</v>
      </c>
      <c r="P235" s="3" t="str">
        <f t="shared" si="3"/>
        <v>09/25 min [26024] (dis： -2287，-8.08% ) (vol_wei_pr：7.35%)</v>
      </c>
    </row>
    <row r="236" spans="1:16" hidden="1" x14ac:dyDescent="0.25">
      <c r="A236" t="s">
        <v>31</v>
      </c>
      <c r="B236" s="10" t="s">
        <v>32</v>
      </c>
      <c r="C236" s="60">
        <v>25998.28</v>
      </c>
      <c r="D236" s="22">
        <v>-2312.19</v>
      </c>
      <c r="E236" s="4">
        <v>-8.1672610875057894E-2</v>
      </c>
      <c r="F236" s="10">
        <v>2</v>
      </c>
      <c r="G236" s="3" t="s">
        <v>121</v>
      </c>
      <c r="H236" s="18">
        <v>45926</v>
      </c>
      <c r="I236" s="21" t="s">
        <v>17</v>
      </c>
      <c r="J236" s="12">
        <v>8334201118</v>
      </c>
      <c r="K236" s="13">
        <v>38145387.030452803</v>
      </c>
      <c r="L236" s="4">
        <v>3.06122448979591E-2</v>
      </c>
      <c r="M236" s="12">
        <v>1116546948.7140801</v>
      </c>
      <c r="N236" s="13">
        <v>5325771.1786241196</v>
      </c>
      <c r="O236" s="4">
        <v>2.2448979591836699E-2</v>
      </c>
      <c r="P236" s="3" t="str">
        <f t="shared" si="3"/>
        <v>09/26 open [25998] (dis： -2312，-8.17% ) (vol_wei_pr：2.24%)</v>
      </c>
    </row>
    <row r="237" spans="1:16" hidden="1" x14ac:dyDescent="0.25">
      <c r="A237" t="s">
        <v>31</v>
      </c>
      <c r="B237" s="10" t="s">
        <v>32</v>
      </c>
      <c r="C237" s="60">
        <v>25998.28</v>
      </c>
      <c r="D237" s="22">
        <v>-2312.19</v>
      </c>
      <c r="E237" s="4">
        <v>-8.1672610875057894E-2</v>
      </c>
      <c r="F237" s="10">
        <v>2</v>
      </c>
      <c r="G237" s="3" t="s">
        <v>121</v>
      </c>
      <c r="H237" s="18">
        <v>45926</v>
      </c>
      <c r="I237" s="21" t="s">
        <v>15</v>
      </c>
      <c r="J237" s="12">
        <v>8334201118</v>
      </c>
      <c r="K237" s="13">
        <v>38145387.030452803</v>
      </c>
      <c r="L237" s="4">
        <v>3.06122448979591E-2</v>
      </c>
      <c r="M237" s="12">
        <v>1116546948.7140801</v>
      </c>
      <c r="N237" s="13">
        <v>5325771.1786241196</v>
      </c>
      <c r="O237" s="4">
        <v>2.2448979591836699E-2</v>
      </c>
      <c r="P237" s="3" t="str">
        <f t="shared" si="3"/>
        <v>09/26 max [25998] (dis： -2312，-8.17% ) (vol_wei_pr：2.24%)</v>
      </c>
    </row>
    <row r="238" spans="1:16" hidden="1" x14ac:dyDescent="0.25">
      <c r="A238" t="s">
        <v>31</v>
      </c>
      <c r="B238" s="10" t="s">
        <v>32</v>
      </c>
      <c r="C238" s="60">
        <v>25982.91</v>
      </c>
      <c r="D238" s="22">
        <v>-2327.56</v>
      </c>
      <c r="E238" s="4">
        <v>-8.2215519558665004E-2</v>
      </c>
      <c r="F238" s="10">
        <v>2</v>
      </c>
      <c r="G238" s="3" t="s">
        <v>121</v>
      </c>
      <c r="H238" s="18">
        <v>45931</v>
      </c>
      <c r="I238" s="21" t="s">
        <v>16</v>
      </c>
      <c r="J238" s="12">
        <v>7679791251</v>
      </c>
      <c r="K238" s="13">
        <v>38145387.030452803</v>
      </c>
      <c r="L238" s="4">
        <v>3.06122448979591E-2</v>
      </c>
      <c r="M238" s="12">
        <v>1102720447.09304</v>
      </c>
      <c r="N238" s="13">
        <v>5325771.1786241196</v>
      </c>
      <c r="O238" s="4">
        <v>2.2448979591836699E-2</v>
      </c>
      <c r="P238" s="3" t="str">
        <f t="shared" si="3"/>
        <v>10/01 close [25983] (dis： -2328，-8.22% ) (vol_wei_pr：2.24%)</v>
      </c>
    </row>
    <row r="239" spans="1:16" hidden="1" x14ac:dyDescent="0.25">
      <c r="A239" t="s">
        <v>31</v>
      </c>
      <c r="B239" s="10" t="s">
        <v>32</v>
      </c>
      <c r="C239" s="60">
        <v>25982.91</v>
      </c>
      <c r="D239" s="22">
        <v>-2327.56</v>
      </c>
      <c r="E239" s="4">
        <v>-8.2215519558665004E-2</v>
      </c>
      <c r="F239" s="10">
        <v>2</v>
      </c>
      <c r="G239" s="3" t="s">
        <v>121</v>
      </c>
      <c r="H239" s="18">
        <v>45931</v>
      </c>
      <c r="I239" s="21" t="s">
        <v>19</v>
      </c>
      <c r="J239" s="12">
        <v>7679791251</v>
      </c>
      <c r="K239" s="13">
        <v>38145387.030452803</v>
      </c>
      <c r="L239" s="4">
        <v>3.06122448979591E-2</v>
      </c>
      <c r="M239" s="12">
        <v>1102720447.09304</v>
      </c>
      <c r="N239" s="13">
        <v>5325771.1786241196</v>
      </c>
      <c r="O239" s="4">
        <v>2.2448979591836699E-2</v>
      </c>
      <c r="P239" s="3" t="str">
        <f t="shared" si="3"/>
        <v>10/01 min [25983] (dis： -2328，-8.22% ) (vol_wei_pr：2.24%)</v>
      </c>
    </row>
    <row r="240" spans="1:16" hidden="1" x14ac:dyDescent="0.25">
      <c r="A240" t="s">
        <v>31</v>
      </c>
      <c r="B240" s="10" t="s">
        <v>32</v>
      </c>
      <c r="C240" s="60">
        <v>25975.84</v>
      </c>
      <c r="D240" s="22">
        <v>-2334.63</v>
      </c>
      <c r="E240" s="4">
        <v>-8.2465250488600095E-2</v>
      </c>
      <c r="F240" s="10">
        <v>2</v>
      </c>
      <c r="G240" s="3" t="s">
        <v>28</v>
      </c>
      <c r="H240" s="18">
        <v>45930</v>
      </c>
      <c r="I240" s="21" t="s">
        <v>15</v>
      </c>
      <c r="J240" s="12">
        <v>6699602406</v>
      </c>
      <c r="K240" s="13">
        <v>43952778.537283704</v>
      </c>
      <c r="L240" s="4">
        <v>4.8979591836734601E-2</v>
      </c>
      <c r="M240" s="12">
        <v>929209288.08623505</v>
      </c>
      <c r="N240" s="13">
        <v>6021683.6287944904</v>
      </c>
      <c r="O240" s="4">
        <v>4.08163265306122E-2</v>
      </c>
      <c r="P240" s="3" t="str">
        <f t="shared" si="3"/>
        <v>09/30 max [25976] (dis： -2335，-8.25% ) (vol_wei_pr：4.08%)</v>
      </c>
    </row>
    <row r="241" spans="1:16" hidden="1" x14ac:dyDescent="0.25">
      <c r="A241" t="s">
        <v>31</v>
      </c>
      <c r="B241" s="10" t="s">
        <v>32</v>
      </c>
      <c r="C241" s="60">
        <v>25820.54</v>
      </c>
      <c r="D241" s="22">
        <v>-2489.9299999999998</v>
      </c>
      <c r="E241" s="4">
        <v>-8.7950853518150698E-2</v>
      </c>
      <c r="F241" s="10">
        <v>2</v>
      </c>
      <c r="G241" s="3" t="s">
        <v>28</v>
      </c>
      <c r="H241" s="18">
        <v>45930</v>
      </c>
      <c r="I241" s="21" t="s">
        <v>16</v>
      </c>
      <c r="J241" s="12">
        <v>6699602406</v>
      </c>
      <c r="K241" s="13">
        <v>43952778.537283704</v>
      </c>
      <c r="L241" s="4">
        <v>4.8979591836734601E-2</v>
      </c>
      <c r="M241" s="12">
        <v>929209288.08623505</v>
      </c>
      <c r="N241" s="13">
        <v>6021683.6287944904</v>
      </c>
      <c r="O241" s="4">
        <v>4.08163265306122E-2</v>
      </c>
      <c r="P241" s="3" t="str">
        <f t="shared" si="3"/>
        <v>09/30 close [25821] (dis： -2490，-8.80% ) (vol_wei_pr：4.08%)</v>
      </c>
    </row>
    <row r="242" spans="1:16" hidden="1" x14ac:dyDescent="0.25">
      <c r="A242" t="s">
        <v>31</v>
      </c>
      <c r="B242" s="10" t="s">
        <v>32</v>
      </c>
      <c r="C242" s="60">
        <v>25742.226833333301</v>
      </c>
      <c r="D242" s="22">
        <v>-2568.2431666666698</v>
      </c>
      <c r="E242" s="4">
        <v>-9.0717079817702398E-2</v>
      </c>
      <c r="F242" s="10">
        <v>2</v>
      </c>
      <c r="G242" s="3" t="s">
        <v>28</v>
      </c>
      <c r="H242" s="18">
        <v>46014</v>
      </c>
      <c r="I242" s="21" t="s">
        <v>29</v>
      </c>
      <c r="J242" s="12">
        <v>7965662925</v>
      </c>
      <c r="K242" s="13">
        <v>43952778.537283704</v>
      </c>
      <c r="L242" s="4">
        <v>4.8979591836734601E-2</v>
      </c>
      <c r="M242" s="12">
        <v>7965662925</v>
      </c>
      <c r="N242" s="13">
        <v>6021683.6287944904</v>
      </c>
      <c r="O242" s="4">
        <v>4.08163265306122E-2</v>
      </c>
      <c r="P242" s="3" t="str">
        <f t="shared" si="3"/>
        <v>12/23 120MA [25742] (dis： -2568，-9.07% ) (vol_wei_pr：4.08%)</v>
      </c>
    </row>
    <row r="243" spans="1:16" hidden="1" x14ac:dyDescent="0.25">
      <c r="A243" t="s">
        <v>31</v>
      </c>
      <c r="B243" s="10" t="s">
        <v>32</v>
      </c>
      <c r="C243" s="60">
        <v>25738.31</v>
      </c>
      <c r="D243" s="22">
        <v>-2572.16</v>
      </c>
      <c r="E243" s="4">
        <v>-9.0855432636759395E-2</v>
      </c>
      <c r="F243" s="10">
        <v>2</v>
      </c>
      <c r="G243" s="3" t="s">
        <v>28</v>
      </c>
      <c r="H243" s="18">
        <v>45930</v>
      </c>
      <c r="I243" s="21" t="s">
        <v>17</v>
      </c>
      <c r="J243" s="12">
        <v>6699602406</v>
      </c>
      <c r="K243" s="13">
        <v>43952778.537283704</v>
      </c>
      <c r="L243" s="4">
        <v>4.8979591836734601E-2</v>
      </c>
      <c r="M243" s="12">
        <v>929209288.08623505</v>
      </c>
      <c r="N243" s="13">
        <v>6021683.6287944904</v>
      </c>
      <c r="O243" s="4">
        <v>4.08163265306122E-2</v>
      </c>
      <c r="P243" s="3" t="str">
        <f t="shared" si="3"/>
        <v>09/30 open [25738] (dis： -2572，-9.09% ) (vol_wei_pr：4.08%)</v>
      </c>
    </row>
    <row r="244" spans="1:16" hidden="1" x14ac:dyDescent="0.25">
      <c r="A244" t="s">
        <v>31</v>
      </c>
      <c r="B244" s="10" t="s">
        <v>32</v>
      </c>
      <c r="C244" s="60">
        <v>25738.31</v>
      </c>
      <c r="D244" s="22">
        <v>-2572.16</v>
      </c>
      <c r="E244" s="4">
        <v>-9.0855432636759395E-2</v>
      </c>
      <c r="F244" s="10">
        <v>2</v>
      </c>
      <c r="G244" s="3" t="s">
        <v>28</v>
      </c>
      <c r="H244" s="18">
        <v>45930</v>
      </c>
      <c r="I244" s="21" t="s">
        <v>19</v>
      </c>
      <c r="J244" s="12">
        <v>6699602406</v>
      </c>
      <c r="K244" s="13">
        <v>43952778.537283704</v>
      </c>
      <c r="L244" s="4">
        <v>4.8979591836734601E-2</v>
      </c>
      <c r="M244" s="12">
        <v>929209288.08623505</v>
      </c>
      <c r="N244" s="13">
        <v>6021683.6287944904</v>
      </c>
      <c r="O244" s="4">
        <v>4.08163265306122E-2</v>
      </c>
      <c r="P244" s="3" t="str">
        <f t="shared" si="3"/>
        <v>09/30 min [25738] (dis： -2572，-9.09% ) (vol_wei_pr：4.08%)</v>
      </c>
    </row>
    <row r="245" spans="1:16" hidden="1" x14ac:dyDescent="0.25">
      <c r="A245" t="s">
        <v>31</v>
      </c>
      <c r="B245" s="10" t="s">
        <v>32</v>
      </c>
      <c r="C245" s="60">
        <v>25580.32</v>
      </c>
      <c r="D245" s="22">
        <v>-2730.15</v>
      </c>
      <c r="E245" s="4">
        <v>-9.6436053516596495E-2</v>
      </c>
      <c r="F245" s="10">
        <v>1</v>
      </c>
      <c r="G245" s="3">
        <v>20250926</v>
      </c>
      <c r="H245" s="18">
        <v>45926</v>
      </c>
      <c r="I245" s="21" t="s">
        <v>16</v>
      </c>
      <c r="J245" s="12">
        <v>8334201118</v>
      </c>
      <c r="K245" s="13">
        <v>15747489.074899901</v>
      </c>
      <c r="L245" s="4">
        <v>1.0204081632653E-2</v>
      </c>
      <c r="M245" s="12">
        <v>1116546948.7140801</v>
      </c>
      <c r="N245" s="13">
        <v>2109717.6115072402</v>
      </c>
      <c r="O245" s="4">
        <v>6.1224489795918303E-3</v>
      </c>
      <c r="P245" s="3" t="str">
        <f t="shared" si="3"/>
        <v>09/26 close [25580] (dis： -2730，-9.64% ) (vol_wei_pr：0.61%)</v>
      </c>
    </row>
    <row r="246" spans="1:16" hidden="1" x14ac:dyDescent="0.25">
      <c r="A246" t="s">
        <v>31</v>
      </c>
      <c r="B246" s="10" t="s">
        <v>32</v>
      </c>
      <c r="C246" s="60">
        <v>25469.040000000001</v>
      </c>
      <c r="D246" s="22">
        <v>-2841.43</v>
      </c>
      <c r="E246" s="4">
        <v>-0.100366754773057</v>
      </c>
      <c r="F246" s="10">
        <v>1</v>
      </c>
      <c r="G246" s="3">
        <v>20250926</v>
      </c>
      <c r="H246" s="18">
        <v>45926</v>
      </c>
      <c r="I246" s="21" t="s">
        <v>19</v>
      </c>
      <c r="J246" s="12">
        <v>8334201118</v>
      </c>
      <c r="K246" s="13">
        <v>15747489.074899901</v>
      </c>
      <c r="L246" s="4">
        <v>1.0204081632653E-2</v>
      </c>
      <c r="M246" s="12">
        <v>1116546948.7140801</v>
      </c>
      <c r="N246" s="13">
        <v>2109717.6115072402</v>
      </c>
      <c r="O246" s="4">
        <v>6.1224489795918303E-3</v>
      </c>
      <c r="P246" s="3" t="str">
        <f t="shared" si="3"/>
        <v>09/26 min [25469] (dis： -2841，-10.04% ) (vol_wei_pr：0.61%)</v>
      </c>
    </row>
  </sheetData>
  <autoFilter ref="A1:P246" xr:uid="{C56391C5-1D56-48EE-A4CE-D1E17133A0F8}">
    <filterColumn colId="2">
      <colorFilter dxfId="0"/>
    </filterColumn>
  </autoFilter>
  <phoneticPr fontId="18" type="noConversion"/>
  <conditionalFormatting sqref="M1:M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{DBE0027F-E422-4A25-B247-3E38304D502D}</x14:id>
        </ext>
      </extLst>
    </cfRule>
  </conditionalFormatting>
  <conditionalFormatting sqref="N1:N1048576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{F35293D5-0877-4BD3-89A6-403B8280361C}</x14:id>
        </ext>
      </extLst>
    </cfRule>
  </conditionalFormatting>
  <conditionalFormatting sqref="J1:J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{DBCCD6FB-86A7-460B-8C06-0E5197EC6E3D}</x14:id>
        </ext>
      </extLst>
    </cfRule>
  </conditionalFormatting>
  <conditionalFormatting sqref="K1:K1048576">
    <cfRule type="dataBar" priority="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{D4506708-DFEE-450F-A7A7-B366EE0A5B1E}</x14:id>
        </ext>
      </extLst>
    </cfRule>
  </conditionalFormatting>
  <conditionalFormatting sqref="L1:L1048576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{268EEACE-B68B-4B4C-95D9-4FA8E6E84DE7}</x14:id>
        </ext>
      </extLst>
    </cfRule>
  </conditionalFormatting>
  <conditionalFormatting sqref="O1:O1048576">
    <cfRule type="cellIs" dxfId="1" priority="1" operator="greaterThanOrEqual">
      <formula>0.8</formula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{32381A4D-218D-4461-A5CC-3BF7AD24CF76}</x14:id>
        </ext>
      </extLst>
    </cfRule>
  </conditionalFormatting>
  <conditionalFormatting sqref="D1:D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{513F4800-212F-4707-88D8-B7FED35162AB}</x14:id>
        </ext>
      </extLst>
    </cfRule>
  </conditionalFormatting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{4218FC82-0C1A-4B53-9158-8CBDFE366563}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E0027F-E422-4A25-B247-3E38304D50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F35293D5-0877-4BD3-89A6-403B828036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DBCCD6FB-86A7-460B-8C06-0E5197EC6E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D4506708-DFEE-450F-A7A7-B366EE0A5B1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68EEACE-B68B-4B4C-95D9-4FA8E6E84D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32381A4D-218D-4461-A5CC-3BF7AD24CF7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  <x14:conditionalFormatting xmlns:xm="http://schemas.microsoft.com/office/excel/2006/main">
          <x14:cfRule type="dataBar" id="{513F4800-212F-4707-88D8-B7FED3516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4218FC82-0C1A-4B53-9158-8CBDFE366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2025-12-24T05:20:06Z</dcterms:created>
  <dcterms:modified xsi:type="dcterms:W3CDTF">2025-12-24T16:31:16Z</dcterms:modified>
</cp:coreProperties>
</file>