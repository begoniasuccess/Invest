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9_{E98ACF91-B226-4D78-A016-BC1EB620CC59}" xr6:coauthVersionLast="47" xr6:coauthVersionMax="47" xr10:uidLastSave="{00000000-0000-0000-0000-000000000000}"/>
  <bookViews>
    <workbookView xWindow="-28920" yWindow="-3255" windowWidth="29040" windowHeight="15720" xr2:uid="{AE0141FF-2140-435D-8E4F-1B67E1021852}"/>
  </bookViews>
  <sheets>
    <sheet name="TAIEX" sheetId="1" r:id="rId1"/>
    <sheet name="0050" sheetId="2" r:id="rId2"/>
  </sheets>
  <definedNames>
    <definedName name="_xlnm._FilterDatabase" localSheetId="0" hidden="1">TAIEX!$A$1:$P$246</definedName>
  </definedName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6" i="1"/>
  <c r="P35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" i="1"/>
</calcChain>
</file>

<file path=xl/sharedStrings.xml><?xml version="1.0" encoding="utf-8"?>
<sst xmlns="http://schemas.openxmlformats.org/spreadsheetml/2006/main" count="1746" uniqueCount="409">
  <si>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</si>
  <si>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</si>
  <si>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</si>
  <si>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</si>
  <si>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</si>
  <si>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</si>
  <si>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</si>
  <si>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</si>
  <si>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</si>
  <si>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</si>
  <si>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</si>
  <si>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</si>
  <si>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vol_adj</t>
  </si>
  <si>
    <t>vol_wei_adj</t>
  </si>
  <si>
    <t>vol_wei_pr_adj</t>
  </si>
  <si>
    <t>0050-60-20251224</t>
  </si>
  <si>
    <t>20251104_max</t>
  </si>
  <si>
    <t>max</t>
  </si>
  <si>
    <t>20251030_max|20251031_max|20251103_max|20251104_max</t>
  </si>
  <si>
    <t>20251030_close|20251031_close|20251103_close|20251104_close</t>
  </si>
  <si>
    <t>close</t>
  </si>
  <si>
    <t>20251030_open|20251031_open|20251103_open|20251104_open</t>
  </si>
  <si>
    <t>open</t>
  </si>
  <si>
    <t>20251030_open|20251031_open|20251103_open|20251104_open|20251211_open</t>
  </si>
  <si>
    <t>20251030_max|20251031_max|20251103_max|20251104_max|20251211_max</t>
  </si>
  <si>
    <t>20251029_max|20251030_max|20251031_max|20251103_max|20251104_max|20251211_max</t>
  </si>
  <si>
    <t>20251029_open|20251030_open|20251031_open|20251103_open|20251104_open|20251211_open</t>
  </si>
  <si>
    <t>20251029_close|20251030_close|20251031_close|20251103_close|20251104_close|20251211_close</t>
  </si>
  <si>
    <t>20251029_min|20251030_min|20251031_min|20251103_min|20251104_min|20251211_min</t>
  </si>
  <si>
    <t>min</t>
  </si>
  <si>
    <t>20251029_open|20251030_open|20251103_open|20251104_open|20251211_open</t>
  </si>
  <si>
    <t>20251029_max|20251030_max|20251103_max|20251104_max|20251210_max|20251211_max</t>
  </si>
  <si>
    <t>20251029_close|20251030_close|20251103_close|20251104_close|20251210_close|20251211_close</t>
  </si>
  <si>
    <t>20251029_close|20251030_close|20251103_close|20251104_close|20251210_close|20251211_close|20251224_close</t>
  </si>
  <si>
    <t>20251029_max|20251030_max|20251103_max|20251104_max|20251210_max|20251211_max|20251224_max</t>
  </si>
  <si>
    <t>20251029_min|20251030_min|20251103_min|20251104_min|20251210_min|20251211_min|20251224_min</t>
  </si>
  <si>
    <t>20251029_close|20251103_close|20251104_close|20251210_close|20251211_close|20251224_close</t>
  </si>
  <si>
    <t>20251029_open|20251103_open|20251104_open|20251210_open|20251211_open|20251224_open</t>
  </si>
  <si>
    <t>20251027_max|20251029_max|20251103_max|20251104_max|20251210_max|20251211_max|20251224_max</t>
  </si>
  <si>
    <t>20251027_min|20251029_min|20251103_min|20251104_min|20251210_min|20251211_min|20251224_min</t>
  </si>
  <si>
    <t>20251027_min|20251029_min|20251104_min|20251209_min|20251210_min|20251211_min|20251224_min</t>
  </si>
  <si>
    <t>20251027_max|20251029_max|20251104_max|20251209_max|20251210_max|20251211_max|20251224_max</t>
  </si>
  <si>
    <t>20251027_close|20251029_close|20251104_close|20251209_close|20251210_close|20251211_close|20251224_close</t>
  </si>
  <si>
    <t>20251027_close|20251029_close|20251209_close|20251210_close|20251211_close|20251212_close|20251223_close|20251224_close</t>
  </si>
  <si>
    <t>20251027_open|20251029_open|20251209_open|20251210_open|20251211_open|20251212_open|20251223_open|20251224_open</t>
  </si>
  <si>
    <t>20251027_max|20251029_max|20251209_max|20251210_max|20251211_max|20251212_max|20251223_max|20251224_max</t>
  </si>
  <si>
    <t>20251027_min|20251029_min|20251209_min|20251210_min|20251211_min|20251212_min|20251223_min|20251224_min</t>
  </si>
  <si>
    <t>20251027_max|20251028_max|20251029_max|20251111_max|20251208_max|20251209_max|20251210_max|20251211_max|20251212_max|20251223_max</t>
  </si>
  <si>
    <t>20251027_open|20251028_open|20251029_open|20251111_open|20251208_open|20251209_open|20251210_open|20251211_open|20251212_open|20251223_open</t>
  </si>
  <si>
    <t>20251027_min|20251028_min|20251029_min|20251111_min|20251208_min|20251209_min|20251210_min|20251211_min|20251212_min|20251223_min</t>
  </si>
  <si>
    <t>20251027_close|20251028_close|20251029_close|20251111_close|20251208_close|20251209_close|20251210_close|20251211_close|20251212_close|20251223_close</t>
  </si>
  <si>
    <t>20251021_max|20251027_max|20251028_max|20251111_max|20251208_max|20251209_max|20251210_max|20251211_max|20251212_max|20251223_max</t>
  </si>
  <si>
    <t>20251021_open|20251027_open|20251028_open|20251111_open|20251208_open|20251209_open|20251210_open|20251211_open|20251212_open|20251223_open</t>
  </si>
  <si>
    <t>20251021_min|20251027_min|20251028_min|20251111_min|20251208_min|20251209_min|20251210_min|20251211_min|20251212_min|20251223_min</t>
  </si>
  <si>
    <t>20251021_close|20251027_close|20251028_close|20251111_close|20251208_close|20251209_close|20251211_close|20251212_close|20251223_close</t>
  </si>
  <si>
    <t>20251021_open|20251027_open|20251028_open|20251111_open|20251208_open|20251209_open|20251211_open|20251212_open|20251223_open</t>
  </si>
  <si>
    <t>20251021_min|20251027_min|20251028_min|20251111_min|20251208_min|20251209_min|20251211_min|20251212_min|20251223_min</t>
  </si>
  <si>
    <t>20251021_max|20251027_max|20251028_max|20251106_max|20251111_max|20251208_max|20251211_max|20251212_max|20251223_max</t>
  </si>
  <si>
    <t>20251021_open|20251027_open|20251028_open|20251106_open|20251111_open|20251208_open|20251211_open|20251212_open|20251223_open</t>
  </si>
  <si>
    <t>20251021_min|20251027_min|20251028_min|20251106_min|20251111_min|20251208_min|20251211_min|20251212_min|20251223_min</t>
  </si>
  <si>
    <t>20251021_min|20251027_min|20251028_min|20251106_min|20251111_min|20251208_min|20251211_min|20251212_min|20251222_min</t>
  </si>
  <si>
    <t>20251021_close|20251027_close|20251028_close|20251106_close|20251111_close|20251208_close|20251211_close|20251212_close|20251222_close</t>
  </si>
  <si>
    <t>20251021_max|20251027_max|20251028_max|20251106_max|20251111_max|20251208_max|20251211_max|20251212_max|20251222_max</t>
  </si>
  <si>
    <t>20251021_open|20251028_open|20251106_open|20251111_open|20251208_open|20251211_open|20251212_open|20251222_open</t>
  </si>
  <si>
    <t>20251021_close|20251028_close|20251106_close|20251111_close|20251208_close|20251211_close|20251212_close|20251222_close</t>
  </si>
  <si>
    <t>20251021_close|20251028_close|20251106_close|20251110_close|20251111_close|20251208_close|20251211_close|20251212_close|20251222_close</t>
  </si>
  <si>
    <t>20251021_open|20251028_open|20251106_open|20251110_open|20251111_open|20251208_open|20251211_open|20251212_open|20251222_open</t>
  </si>
  <si>
    <t>20251021_max|20251028_max|20251106_max|20251110_max|20251111_max|20251208_max|20251211_max|20251212_max|20251222_max</t>
  </si>
  <si>
    <t>20251021_close|20251028_close|20251106_close|20251110_close|20251111_close|20251112_close|20251208_close|20251211_close|20251212_close|20251222_close</t>
  </si>
  <si>
    <t>20251021_max|20251028_max|20251106_max|20251110_max|20251111_max|20251112_max|20251208_max|20251211_max|20251212_max|20251222_max</t>
  </si>
  <si>
    <t>20251021_min|20251028_min|20251106_min|20251110_min|20251111_min|20251112_min|20251208_min|20251211_min|20251212_min|20251222_min</t>
  </si>
  <si>
    <t>20251021_open|20251028_open|20251106_open|20251110_open|20251111_open|20251112_open|20251208_open|20251211_open|20251212_open|20251222_open</t>
  </si>
  <si>
    <t>20251020_max|20251021_max|20251028_max|20251106_max|20251110_max|20251111_max|20251112_max|20251208_max|20251211_max|20251222_max</t>
  </si>
  <si>
    <t>20251020_close|20251021_close|20251028_close|20251106_close|20251110_close|20251111_close|20251112_close|20251208_close|20251211_close|20251222_close</t>
  </si>
  <si>
    <t>20251020_min|20251021_min|20251028_min|20251106_min|20251110_min|20251111_min|20251112_min|20251208_min|20251211_min|20251222_min</t>
  </si>
  <si>
    <t>20251020_close|20251021_close|20251105_close|20251106_close|20251110_close|20251111_close|20251112_close|20251208_close|20251222_close</t>
  </si>
  <si>
    <t>20251020_max|20251021_max|20251105_max|20251106_max|20251110_max|20251111_max|20251112_max|20251208_max|20251222_max</t>
  </si>
  <si>
    <t>20251020_min|20251021_min|20251105_min|20251106_min|20251110_min|20251111_min|20251112_min|20251208_min|20251222_min</t>
  </si>
  <si>
    <t>20251020_close|20251021_close|20251105_close|20251110_close|20251111_close|20251112_close|20251208_close|20251222_close</t>
  </si>
  <si>
    <t>20251020_5MA|20251021_5MA|20251105_5MA|20251110_5MA|20251111_5MA|20251112_5MA|20251208_5MA|20251222_5MA</t>
  </si>
  <si>
    <t>5MA</t>
  </si>
  <si>
    <t>20251020_min|20251021_min|20251105_min|20251110_min|20251111_min|20251112_min|20251208_min|20251222_min</t>
  </si>
  <si>
    <t>20251016_close|20251020_close|20251105_close|20251110_close|20251111_close|20251112_close|20251208_close</t>
  </si>
  <si>
    <t>20251016_max|20251020_max|20251105_max|20251110_max|20251111_max|20251112_max|20251208_max</t>
  </si>
  <si>
    <t>20251016_open|20251020_open|20251105_open|20251110_open|20251111_open|20251112_open|20251208_open</t>
  </si>
  <si>
    <t>20251016_open|20251020_open|20251105_open|20251110_open|20251111_open|20251112_open|20251113_open|20251208_open</t>
  </si>
  <si>
    <t>20251016_max|20251020_max|20251105_max|20251110_max|20251111_max|20251112_max|20251113_max|20251208_max</t>
  </si>
  <si>
    <t>20251016_min|20251020_min|20251105_min|20251110_min|20251111_min|20251112_min|20251113_min|20251208_min</t>
  </si>
  <si>
    <t>20251016_10MA|20251020_10MA|20251105_10MA|20251110_10MA|20251111_10MA|20251112_10MA|20251113_10MA</t>
  </si>
  <si>
    <t>10MA</t>
  </si>
  <si>
    <t>20251016_close|20251020_close|20251105_close|20251110_close|20251111_close|20251112_close|20251113_close</t>
  </si>
  <si>
    <t>20251016_max|20251020_max|20251022_max|20251105_max|20251110_max|20251111_max|20251112_max|20251113_max|20251215_max</t>
  </si>
  <si>
    <t>20251016_min|20251020_min|20251022_min|20251105_min|20251110_min|20251111_min|20251112_min|20251113_min|20251215_min</t>
  </si>
  <si>
    <t>20251016_open|20251020_open|20251022_open|20251105_open|20251110_open|20251112_open|20251113_open|20251215_open</t>
  </si>
  <si>
    <t>20251016_close|20251020_close|20251022_close|20251105_close|20251110_close|20251112_close|20251113_close|20251215_close</t>
  </si>
  <si>
    <t>20251016_20MA|20251020_20MA|20251022_20MA|20251105_20MA|20251110_20MA|20251112_20MA|20251113_20MA|20251215_20MA</t>
  </si>
  <si>
    <t>20MA</t>
  </si>
  <si>
    <t>20251016_max|20251020_max|20251022_max|20251105_max|20251107_max|20251110_max|20251112_max|20251113_max|20251205_max|20251215_max|20251219_max</t>
  </si>
  <si>
    <t>20251016_min|20251020_min|20251022_min|20251105_min|20251107_min|20251110_min|20251112_min|20251113_min|20251205_min|20251215_min|20251219_min</t>
  </si>
  <si>
    <t>20251016_close|20251020_close|20251022_close|20251105_close|20251107_close|20251110_close|20251112_close|20251113_close|20251205_close|20251215_close|20251219_close</t>
  </si>
  <si>
    <t>20251016_close|20251020_close|20251022_close|20251105_close|20251107_close|20251110_close|20251113_close|20251205_close|20251215_close|20251219_close</t>
  </si>
  <si>
    <t>20251016_open|20251020_open|20251022_open|20251105_open|20251107_open|20251110_open|20251113_open|20251205_open|20251215_open|20251219_open</t>
  </si>
  <si>
    <t>20251016_min|20251020_min|20251022_min|20251105_min|20251107_min|20251110_min|20251113_min|20251205_min|20251215_min|20251219_min</t>
  </si>
  <si>
    <t>20251016_close|20251020_close|20251022_close|20251105_close|20251107_close|20251205_close|20251215_close|20251219_close</t>
  </si>
  <si>
    <t>20251016_max|20251020_max|20251022_max|20251105_max|20251107_max|20251203_max|20251204_max|20251205_max|20251215_max|20251219_max</t>
  </si>
  <si>
    <t>20251016_open|20251020_open|20251022_open|20251105_open|20251107_open|20251203_open|20251204_open|20251205_open|20251215_open|20251219_open</t>
  </si>
  <si>
    <t>20251016_close|20251020_close|20251022_close|20251105_close|20251107_close|20251203_close|20251204_close|20251205_close|20251215_close|20251219_close</t>
  </si>
  <si>
    <t>20251016_open|20251020_open|20251022_open|20251105_open|20251107_open|20251203_open|20251204_open|20251205_open|20251215_open|20251217_open|20251219_open</t>
  </si>
  <si>
    <t>20251016_max|20251020_max|20251022_max|20251105_max|20251107_max|20251203_max|20251204_max|20251205_max|20251215_max|20251217_max|20251219_max</t>
  </si>
  <si>
    <t>20251016_max|20251020_max|20251022_max|20251023_max|20251105_max|20251107_max|20251128_max|20251203_max|20251204_max|20251205_max|20251215_max|20251217_max|20251219_max</t>
  </si>
  <si>
    <t>20251016_min|20251020_min|20251022_min|20251023_min|20251105_min|20251107_min|20251128_min|20251203_min|20251204_min|20251205_min|20251215_min|20251217_min|20251219_min</t>
  </si>
  <si>
    <t>20251016_open|20251020_open|20251022_open|20251023_open|20251105_open|20251107_open|20251128_open|20251203_open|20251204_open|20251205_open|20251215_open|20251217_open|20251219_open</t>
  </si>
  <si>
    <t>20251016_open|20251020_open|20251022_open|20251023_open|20251105_open|20251128_open|20251203_open|20251204_open|20251205_open|20251217_open|20251219_open</t>
  </si>
  <si>
    <t>20251016_close|20251020_close|20251022_close|20251023_close|20251105_close|20251128_close|20251203_close|20251204_close|20251205_close|20251217_close|20251219_close</t>
  </si>
  <si>
    <t>20251016_min|20251020_min|20251022_min|20251023_min|20251105_min|20251128_min|20251203_min|20251204_min|20251205_min|20251217_min|20251219_min</t>
  </si>
  <si>
    <t>20251016_max|20251017_max|20251020_max|20251022_max|20251023_max|20251105_max|20251128_max|20251203_max|20251204_max|20251217_max</t>
  </si>
  <si>
    <t>20251016_min|20251017_min|20251020_min|20251022_min|20251023_min|20251105_min|20251128_min|20251203_min|20251204_min|20251217_min</t>
  </si>
  <si>
    <t>20251016_close|20251017_close|20251020_close|20251022_close|20251023_close|20251105_close|20251128_close|20251203_close|20251204_close|20251217_close</t>
  </si>
  <si>
    <t>20251016_min|20251017_min|20251020_min|20251022_min|20251023_min|20251128_min|20251203_min|20251204_min|20251216_min|20251217_min</t>
  </si>
  <si>
    <t>20251016_close|20251017_close|20251020_close|20251022_close|20251023_close|20251128_close|20251203_close|20251204_close|20251216_close|20251217_close</t>
  </si>
  <si>
    <t>20251016_max|20251017_max|20251020_max|20251022_max|20251023_max|20251128_max|20251203_max|20251204_max|20251216_max|20251217_max</t>
  </si>
  <si>
    <t>20251016_max|20251017_max|20251020_max|20251023_max|20251117_max|20251128_max|20251202_max|20251203_max|20251204_max|20251216_max|20251217_max</t>
  </si>
  <si>
    <t>20251016_close|20251017_close|20251020_close|20251023_close|20251117_close|20251128_close|20251202_close|20251203_close|20251204_close|20251216_close|20251217_close</t>
  </si>
  <si>
    <t>20251016_60MA|20251017_60MA|20251020_60MA|20251023_60MA|20251117_60MA|20251128_60MA|20251202_60MA|20251203_60MA|20251204_60MA|20251216_60MA|20251217_60MA</t>
  </si>
  <si>
    <t>60MA</t>
  </si>
  <si>
    <t>20251014_max|20251016_max|20251017_max|20251020_max|20251023_max|20251117_max|20251128_max|20251202_max|20251203_max|20251204_max|20251216_max|20251217_max</t>
  </si>
  <si>
    <t>20251014_min|20251016_min|20251017_min|20251020_min|20251023_min|20251117_min|20251128_min|20251202_min|20251203_min|20251204_min|20251216_min|20251217_min</t>
  </si>
  <si>
    <t>20251014_open|20251016_open|20251017_open|20251020_open|20251023_open|20251117_open|20251128_open|20251202_open|20251203_open|20251204_open|20251216_open|20251217_open</t>
  </si>
  <si>
    <t>20251014_open|20251016_open|20251017_open|20251023_open|20251117_open|20251127_open|20251128_open|20251202_open|20251203_open|20251204_open|20251216_open|20251217_open|20251218_open</t>
  </si>
  <si>
    <t>20251014_min|20251016_min|20251017_min|20251023_min|20251117_min|20251127_min|20251128_min|20251202_min|20251203_min|20251204_min|20251216_min|20251217_min|20251218_min</t>
  </si>
  <si>
    <t>20251014_max|20251016_max|20251017_max|20251023_max|20251117_max|20251127_max|20251128_max|20251202_max|20251203_max|20251204_max|20251216_max|20251217_max|20251218_max</t>
  </si>
  <si>
    <t>20251014_close|20251017_close|20251023_close|20251117_close|20251127_close|20251128_close|20251202_close|20251204_close|20251216_close|20251217_close|20251218_close</t>
  </si>
  <si>
    <t>20251014_open|20251017_open|20251023_open|20251117_open|20251127_open|20251128_open|20251202_open|20251204_open|20251216_open|20251217_open|20251218_open</t>
  </si>
  <si>
    <t>20251014_min|20251017_min|20251023_min|20251117_min|20251127_min|20251128_min|20251202_min|20251204_min|20251216_min|20251217_min|20251218_min</t>
  </si>
  <si>
    <t>20251009_max|20251014_max|20251017_max|20251023_max|20251117_max|20251120_max|20251127_max|20251128_max|20251201_max|20251202_max|20251216_max|20251217_max|20251218_max</t>
  </si>
  <si>
    <t>20251009_open|20251014_open|20251017_open|20251023_open|20251117_open|20251120_open|20251127_open|20251128_open|20251201_open|20251202_open|20251216_open|20251217_open|20251218_open</t>
  </si>
  <si>
    <t>20251009_min|20251014_min|20251017_min|20251023_min|20251114_min|20251117_min|20251120_min|20251127_min|20251128_min|20251201_min|20251202_min|20251216_min|20251217_min|20251218_min</t>
  </si>
  <si>
    <t>20251009_max|20251014_max|20251017_max|20251023_max|20251114_max|20251117_max|20251120_max|20251127_max|20251128_max|20251201_max|20251202_max|20251216_max|20251217_max|20251218_max</t>
  </si>
  <si>
    <t>20251009_close|20251014_close|20251017_close|20251023_close|20251114_close|20251117_close|20251120_close|20251127_close|20251128_close|20251201_close|20251202_close|20251216_close|20251217_close|20251218_close</t>
  </si>
  <si>
    <t>20251009_open|20251014_open|20251023_open|20251114_open|20251117_open|20251120_open|20251127_open|20251128_open|20251201_open|20251202_open|20251216_open|20251217_open|20251218_open</t>
  </si>
  <si>
    <t>20251009_min|20251014_min|20251023_min|20251114_min|20251117_min|20251120_min|20251127_min|20251128_min|20251201_min|20251202_min|20251216_min|20251217_min|20251218_min</t>
  </si>
  <si>
    <t>20251009_close|20251014_close|20251015_close|20251023_close|20251114_close|20251117_close|20251120_close|20251127_close|20251201_close|20251202_close|20251216_close|20251218_close</t>
  </si>
  <si>
    <t>20251009_max|20251014_max|20251015_max|20251023_max|20251114_max|20251117_max|20251120_max|20251127_max|20251201_max|20251202_max|20251216_max|20251218_max</t>
  </si>
  <si>
    <t>20251009_min|20251014_min|20251015_min|20251023_min|20251114_min|20251117_min|20251120_min|20251127_min|20251201_min|20251202_min|20251216_min|20251218_min</t>
  </si>
  <si>
    <t>20251009_open|20251014_open|20251015_open|20251023_open|20251114_open|20251117_open|20251120_open|20251127_open|20251201_open|20251202_open|20251216_open|20251218_open</t>
  </si>
  <si>
    <t>20251009_min|20251014_min|20251015_min|20251023_min|20251114_min|20251120_min|20251127_min|20251201_min|20251202_min|20251216_min|20251218_min</t>
  </si>
  <si>
    <t>20251007_close|20251009_close|20251014_close|20251015_close|20251114_close|20251120_close|20251127_close|20251201_close|20251202_close|20251216_close|20251218_close</t>
  </si>
  <si>
    <t>20251007_max|20251009_max|20251014_max|20251015_max|20251114_max|20251120_max|20251127_max|20251201_max|20251202_max|20251216_max|20251218_max</t>
  </si>
  <si>
    <t>20251007_min|20251009_min|20251014_min|20251015_min|20251114_min|20251120_min|20251127_min|20251201_min|20251202_min|20251216_min|20251218_min</t>
  </si>
  <si>
    <t>20251007_open|20251009_open|20251014_open|20251015_open|20251114_open|20251120_open|20251127_open|20251201_open|20251202_open|20251218_open</t>
  </si>
  <si>
    <t>20251007_min|20251009_min|20251014_min|20251015_min|20251114_min|20251120_min|20251127_min|20251201_min|20251202_min|20251218_min</t>
  </si>
  <si>
    <t>20251007_close|20251009_close|20251014_close|20251015_close|20251114_close|20251120_close|20251201_close|20251218_close</t>
  </si>
  <si>
    <t>20251007_open|20251009_open|20251014_open|20251015_open|20251114_open|20251120_open|20251201_open|20251218_open</t>
  </si>
  <si>
    <t>20251007_min|20251009_min|20251014_min|20251015_min|20251114_min|20251120_min|20251201_min|20251218_min</t>
  </si>
  <si>
    <t>20251007_min|20251009_min|20251014_min|20251015_min|20251114_min|20251120_min|20251126_min|20251201_min</t>
  </si>
  <si>
    <t>20251007_max|20251009_max|20251014_max|20251015_max|20251114_max|20251120_max|20251126_max|20251201_max</t>
  </si>
  <si>
    <t>20251007_close|20251009_close|20251014_close|20251015_close|20251114_close|20251120_close|20251126_close|20251201_close</t>
  </si>
  <si>
    <t>20251007_min|20251014_min|20251015_min|20251114_min|20251120_min|20251126_min|20251201_min</t>
  </si>
  <si>
    <t>20251007_min|20251014_min|20251015_min|20251120_min|20251126_min</t>
  </si>
  <si>
    <t>20251007_close|20251014_close|20251015_close|20251120_close|20251126_close</t>
  </si>
  <si>
    <t>20251007_open|20251014_open|20251015_open|20251118_open|20251126_open</t>
  </si>
  <si>
    <t>20251007_max|20251014_max|20251015_max|20251118_max|20251126_max</t>
  </si>
  <si>
    <t>20251007_close|20251008_close|20251014_close|20251015_close|20251118_close|20251126_close</t>
  </si>
  <si>
    <t>20251007_max|20251008_max|20251014_max|20251015_max|20251118_max|20251126_max</t>
  </si>
  <si>
    <t>20251007_open|20251008_open|20251014_open|20251015_open|20251118_open|20251126_open</t>
  </si>
  <si>
    <t>20251007_open|20251008_open|20251013_open|20251014_open|20251015_open|20251118_open|20251126_open</t>
  </si>
  <si>
    <t>20251007_close|20251008_close|20251013_close|20251014_close|20251015_close|20251118_close|20251126_close</t>
  </si>
  <si>
    <t>20251007_max|20251008_max|20251013_max|20251014_max|20251015_max|20251118_max|20251126_max</t>
  </si>
  <si>
    <t>20251007_min|20251008_min|20251013_min|20251014_min|20251015_min|20251118_min|20251126_min</t>
  </si>
  <si>
    <t>20251007_min|20251008_min|20251013_min|20251014_min|20251015_min|20251118_min</t>
  </si>
  <si>
    <t>20251008_max|20251013_max|20251014_max|20251015_max|20251118_max|20251125_max</t>
  </si>
  <si>
    <t>20251008_close|20251013_close|20251014_close|20251015_close|20251118_close|20251125_close</t>
  </si>
  <si>
    <t>20251008_open|20251013_open|20251014_open|20251015_open|20251118_open|20251125_open</t>
  </si>
  <si>
    <t>20251008_min|20251013_min|20251014_min|20251015_min|20251118_min|20251125_min</t>
  </si>
  <si>
    <t>20251008_min|20251013_min|20251015_min|20251118_min|20251125_min</t>
  </si>
  <si>
    <t>20251013_max|20251118_max|20251119_max|20251125_max</t>
  </si>
  <si>
    <t>20251013_close|20251118_close|20251119_close|20251125_close</t>
  </si>
  <si>
    <t>20251013_min|20251118_min|20251119_min|20251125_min</t>
  </si>
  <si>
    <t>20251013_open|20251119_open|20251121_open|20251125_open</t>
  </si>
  <si>
    <t>20251013_max|20251119_max|20251121_max|20251125_max</t>
  </si>
  <si>
    <t>20251003_max|20251013_max|20251119_max|20251121_max|20251124_max|20251125_max</t>
  </si>
  <si>
    <t>20251003_open|20251013_open|20251119_open|20251121_open|20251124_open|20251125_open</t>
  </si>
  <si>
    <t>20251003_min|20251013_min|20251119_min|20251121_min|20251124_min|20251125_min</t>
  </si>
  <si>
    <t>20251003_close|20251013_close|20251119_close|20251121_close|20251124_close</t>
  </si>
  <si>
    <t>20251003_open|20251013_open|20251119_open|20251121_open|20251124_open</t>
  </si>
  <si>
    <t>20251003_min|20251013_min|20251119_min|20251121_min|20251124_min</t>
  </si>
  <si>
    <t>20251003_close|20251013_close|20251121_close|20251124_close</t>
  </si>
  <si>
    <t>20251003_min|20251013_min|20251121_min|20251124_min</t>
  </si>
  <si>
    <t>20251003_close|20251121_close|20251124_close</t>
  </si>
  <si>
    <t>20251003_min|20251121_min|20251124_min</t>
  </si>
  <si>
    <t>20251003_min|20251124_min</t>
  </si>
  <si>
    <t>20251002_max|20251003_max</t>
  </si>
  <si>
    <t>20251002_close|20251003_close</t>
  </si>
  <si>
    <t>20251002_open|20251003_open</t>
  </si>
  <si>
    <t>20251002_min|20251003_min</t>
  </si>
  <si>
    <t>20251002_open</t>
  </si>
  <si>
    <t>20251002_min</t>
  </si>
  <si>
    <t>20251001_max</t>
  </si>
  <si>
    <t>20251001_close</t>
  </si>
  <si>
    <t>20250926_open|20250930_open|20251001_open</t>
  </si>
  <si>
    <t>20250926_max|20250930_max|20251001_max</t>
  </si>
  <si>
    <t>20250926_min|20250930_min|20251001_min</t>
  </si>
  <si>
    <t>20250926_close|20250930_close</t>
  </si>
  <si>
    <t>20250926_open|20250930_open</t>
  </si>
  <si>
    <t>20250926_min|20250930_min</t>
  </si>
  <si>
    <t>20250926_120MA</t>
  </si>
  <si>
    <t>120MA</t>
  </si>
  <si>
    <t>20250926_close</t>
  </si>
  <si>
    <t>20250926_min</t>
  </si>
  <si>
    <t>TAIEX-60-20251224</t>
  </si>
  <si>
    <t>TAIEX</t>
  </si>
  <si>
    <t>20251211_max</t>
  </si>
  <si>
    <t>20251104_max|20251211_max</t>
  </si>
  <si>
    <t>20251030_max|20251104_max|20251211_max</t>
  </si>
  <si>
    <t>20251030_max|20251103_max|20251104_max|20251211_max</t>
  </si>
  <si>
    <t>20251030_max|20251031_max|20251103_max|20251104_max|20251211_max|20251224_max</t>
  </si>
  <si>
    <t>20251030_max|20251031_max|20251103_max|20251104_max|20251210_max|20251211_max|20251224_max</t>
  </si>
  <si>
    <t>20251030_close|20251031_close|20251103_close|20251104_close|20251210_close|20251211_close|20251224_close</t>
  </si>
  <si>
    <t>20251029_max|20251030_max|20251031_max|20251103_max|20251104_max|20251210_max|20251211_max|20251224_max</t>
  </si>
  <si>
    <t>20251029_max|20251030_max|20251031_max|20251103_max|20251104_max|20251209_max|20251210_max|20251211_max|20251224_max</t>
  </si>
  <si>
    <t>20251029_open|20251030_open|20251031_open|20251103_open|20251104_open|20251209_open|20251210_open|20251211_open|20251224_open</t>
  </si>
  <si>
    <t>20251029_close|20251030_close|20251031_close|20251103_close|20251104_close|20251209_close|20251210_close|20251211_close|20251224_close</t>
  </si>
  <si>
    <t>20251029_max|20251030_max|20251031_max|20251103_max|20251104_max|20251209_max|20251210_max|20251211_max|20251223_max|20251224_max</t>
  </si>
  <si>
    <t>20251029_open|20251030_open|20251031_open|20251103_open|20251104_open|20251209_open|20251210_open|20251211_open|20251223_open|20251224_open</t>
  </si>
  <si>
    <t>20251029_close|20251030_close|20251031_close|20251103_close|20251104_close|20251209_close|20251210_close|20251211_close|20251223_close|20251224_close</t>
  </si>
  <si>
    <t>20251029_close|20251030_close|20251031_close|20251103_close|20251104_close|20251208_close|20251209_close|20251210_close|20251211_close|20251223_close|20251224_close</t>
  </si>
  <si>
    <t>20251029_max|20251030_max|20251031_max|20251103_max|20251104_max|20251208_max|20251209_max|20251210_max|20251211_max|20251223_max|20251224_max</t>
  </si>
  <si>
    <t>20251029_min|20251030_min|20251031_min|20251103_min|20251104_min|20251208_min|20251209_min|20251210_min|20251211_min|20251223_min|20251224_min</t>
  </si>
  <si>
    <t>20251029_open|20251030_open|20251031_open|20251103_open|20251104_open|20251208_open|20251209_open|20251210_open|20251211_open|20251223_open</t>
  </si>
  <si>
    <t>20251029_max|20251030_max|20251031_max|20251103_max|20251104_max|20251208_max|20251209_max|20251210_max|20251211_max|20251212_max|20251223_max</t>
  </si>
  <si>
    <t>20251029_open|20251030_open|20251031_open|20251103_open|20251104_open|20251208_open|20251209_open|20251210_open|20251211_open|20251212_open|20251223_open</t>
  </si>
  <si>
    <t>20251029_close|20251030_close|20251031_close|20251103_close|20251104_close|20251208_close|20251209_close|20251210_close|20251211_close|20251212_close|20251223_close</t>
  </si>
  <si>
    <t>20251029_min|20251030_min|20251031_min|20251103_min|20251104_min|20251208_min|20251209_min|20251210_min|20251211_min|20251212_min|20251223_min</t>
  </si>
  <si>
    <t>20251029_min|20251030_min|20251103_min|20251104_min|20251208_min|20251209_min|20251210_min|20251211_min|20251212_min|20251223_min</t>
  </si>
  <si>
    <t>20251029_close|20251030_close|20251103_close|20251104_close|20251208_close|20251209_close|20251210_close|20251211_close|20251212_close</t>
  </si>
  <si>
    <t>20251027_max|20251029_max|20251030_max|20251103_max|20251104_max|20251208_max|20251209_max|20251210_max|20251211_max|20251212_max</t>
  </si>
  <si>
    <t>20251027_open|20251029_open|20251030_open|20251103_open|20251104_open|20251208_open|20251209_open|20251210_open|20251211_open|20251212_open</t>
  </si>
  <si>
    <t>20251027_min|20251029_min|20251030_min|20251103_min|20251104_min|20251208_min|20251209_min|20251210_min|20251211_min|20251212_min</t>
  </si>
  <si>
    <t>20251027_max|20251029_max|20251030_max|20251103_max|20251104_max|20251111_max|20251208_max|20251209_max|20251211_max|20251212_max</t>
  </si>
  <si>
    <t>20251027_close|20251029_close|20251030_close|20251103_close|20251104_close|20251111_close|20251208_close|20251209_close|20251211_close|20251212_close</t>
  </si>
  <si>
    <t>20251027_max|20251029_max|20251030_max|20251103_max|20251104_max|20251111_max|20251208_max|20251209_max|20251211_max|20251212_max|20251222_max</t>
  </si>
  <si>
    <t>20251027_open|20251029_open|20251030_open|20251103_open|20251104_open|20251111_open|20251208_open|20251209_open|20251211_open|20251212_open|20251222_open</t>
  </si>
  <si>
    <t>20251027_min|20251029_min|20251030_min|20251103_min|20251104_min|20251111_min|20251208_min|20251209_min|20251211_min|20251212_min|20251222_min</t>
  </si>
  <si>
    <t>20251027_min|20251029_min|20251030_min|20251103_min|20251104_min|20251111_min|20251208_min|20251211_min|20251212_min|20251222_min</t>
  </si>
  <si>
    <t>20251027_close|20251029_close|20251030_close|20251104_close|20251111_close|20251208_close|20251211_close|20251212_close|20251222_close</t>
  </si>
  <si>
    <t>20251027_min|20251029_min|20251030_min|20251104_min|20251111_min|20251208_min|20251211_min|20251212_min|20251222_min</t>
  </si>
  <si>
    <t>20251027_open|20251030_open|20251104_open|20251111_open|20251208_open|20251211_open|20251212_open|20251215_open|20251222_open</t>
  </si>
  <si>
    <t>20251027_max|20251030_max|20251104_max|20251111_max|20251208_max|20251211_max|20251212_max|20251215_max|20251222_max</t>
  </si>
  <si>
    <t>20251027_min|20251030_min|20251104_min|20251111_min|20251208_min|20251211_min|20251212_min|20251215_min|20251222_min</t>
  </si>
  <si>
    <t>20251027_close|20251104_close|20251111_close|20251208_close|20251211_close|20251212_close|20251215_close|20251222_close</t>
  </si>
  <si>
    <t>20251027_open|20251104_open|20251111_open|20251208_open|20251211_open|20251212_open|20251215_open|20251222_open</t>
  </si>
  <si>
    <t>20251027_max|20251028_max|20251104_max|20251111_max|20251208_max|20251211_max|20251212_max|20251215_max|20251222_max</t>
  </si>
  <si>
    <t>20251027_max|20251028_max|20251104_max|20251111_max|20251112_max|20251208_max|20251211_max|20251212_max|20251215_max|20251222_max</t>
  </si>
  <si>
    <t>20251027_min|20251028_min|20251104_min|20251111_min|20251112_min|20251208_min|20251211_min|20251212_min|20251215_min|20251222_min</t>
  </si>
  <si>
    <t>20251027_max|20251028_max|20251104_max|20251106_max|20251111_max|20251112_max|20251208_max|20251211_max|20251215_max|20251222_max</t>
  </si>
  <si>
    <t>20251027_open|20251028_open|20251104_open|20251106_open|20251111_open|20251112_open|20251208_open|20251211_open|20251215_open|20251222_open</t>
  </si>
  <si>
    <t>20251027_max|20251028_max|20251104_max|20251106_max|20251111_max|20251112_max|20251113_max|20251208_max|20251211_max|20251215_max|20251222_max</t>
  </si>
  <si>
    <t>20251027_open|20251028_open|20251104_open|20251106_open|20251111_open|20251112_open|20251113_open|20251208_open|20251211_open|20251215_open|20251222_open</t>
  </si>
  <si>
    <t>20251027_min|20251028_min|20251104_min|20251106_min|20251111_min|20251112_min|20251113_min|20251208_min|20251211_min|20251215_min|20251222_min</t>
  </si>
  <si>
    <t>20251027_open|20251028_open|20251106_open|20251111_open|20251112_open|20251113_open|20251208_open|20251211_open|20251215_open|20251222_open</t>
  </si>
  <si>
    <t>20251027_min|20251028_min|20251106_min|20251111_min|20251112_min|20251113_min|20251208_min|20251211_min|20251215_min|20251222_min</t>
  </si>
  <si>
    <t>20251027_close|20251028_close|20251106_close|20251111_close|20251112_close|20251113_close|20251211_close|20251215_close|20251222_close</t>
  </si>
  <si>
    <t>20251027_5MA|20251028_5MA|20251106_5MA|20251111_5MA|20251112_5MA|20251113_5MA|20251211_5MA|20251215_5MA|20251222_5MA</t>
  </si>
  <si>
    <t>20251027_min|20251028_min|20251106_min|20251111_min|20251112_min|20251113_min|20251211_min|20251215_min|20251222_min</t>
  </si>
  <si>
    <t>20251028_open|20251106_open|20251111_open|20251112_open|20251113_open|20251211_open|20251215_open|20251222_open</t>
  </si>
  <si>
    <t>20251028_min|20251106_min|20251111_min|20251112_min|20251113_min|20251211_min|20251215_min|20251222_min</t>
  </si>
  <si>
    <t>20251028_min|20251106_min|20251111_min|20251112_min|20251113_min|20251211_min|20251215_min</t>
  </si>
  <si>
    <t>20251028_close|20251106_close|20251111_close|20251112_close|20251113_close|20251205_close|20251215_close</t>
  </si>
  <si>
    <t>20251028_max|20251106_max|20251111_max|20251112_max|20251113_max|20251205_max|20251215_max</t>
  </si>
  <si>
    <t>20251028_max|20251106_max|20251110_max|20251111_max|20251112_max|20251113_max|20251205_max|20251215_max</t>
  </si>
  <si>
    <t>20251021_max|20251028_max|20251106_max|20251110_max|20251111_max|20251112_max|20251113_max|20251205_max|20251215_max</t>
  </si>
  <si>
    <t>20251021_close|20251028_close|20251106_close|20251110_close|20251111_close|20251112_close|20251113_close|20251205_close|20251215_close</t>
  </si>
  <si>
    <t>20251021_10MA|20251028_10MA|20251106_10MA|20251110_10MA|20251111_10MA|20251112_10MA|20251113_10MA|20251205_10MA|20251215_10MA</t>
  </si>
  <si>
    <t>20251021_open|20251028_open|20251106_open|20251110_open|20251111_open|20251112_open|20251113_open|20251205_open|20251215_open</t>
  </si>
  <si>
    <t>20251021_min|20251028_min|20251106_min|20251110_min|20251111_min|20251112_min|20251113_min|20251205_min|20251215_min</t>
  </si>
  <si>
    <t>20251021_20MA|20251106_20MA|20251110_20MA|20251111_20MA|20251112_20MA|20251113_20MA|20251205_20MA|20251215_20MA</t>
  </si>
  <si>
    <t>20251021_max|20251106_max|20251110_max|20251111_max|20251112_max|20251113_max|20251204_max|20251205_max|20251215_max</t>
  </si>
  <si>
    <t>20251021_min|20251106_min|20251110_min|20251111_min|20251112_min|20251113_min|20251204_min|20251205_min|20251215_min</t>
  </si>
  <si>
    <t>20251021_max|20251110_max|20251111_max|20251112_max|20251113_max|20251204_max|20251205_max|20251215_max|20251219_max</t>
  </si>
  <si>
    <t>20251021_close|20251110_close|20251111_close|20251112_close|20251113_close|20251204_close|20251205_close|20251215_close|20251219_close</t>
  </si>
  <si>
    <t>20251021_open|20251110_open|20251111_open|20251112_open|20251113_open|20251204_open|20251205_open|20251215_open|20251219_open</t>
  </si>
  <si>
    <t>20251021_max|20251110_max|20251111_max|20251112_max|20251113_max|20251203_max|20251204_max|20251205_max|20251215_max|20251219_max</t>
  </si>
  <si>
    <t>20251021_open|20251107_open|20251110_open|20251111_open|20251112_open|20251113_open|20251203_open|20251204_open|20251205_open|20251215_open|20251219_open</t>
  </si>
  <si>
    <t>20251021_max|20251107_max|20251110_max|20251111_max|20251112_max|20251113_max|20251203_max|20251204_max|20251205_max|20251215_max|20251219_max</t>
  </si>
  <si>
    <t>20251021_open|20251107_open|20251110_open|20251111_open|20251112_open|20251113_open|20251114_open|20251203_open|20251204_open|20251205_open|20251215_open|20251219_open</t>
  </si>
  <si>
    <t>20251021_max|20251107_max|20251110_max|20251111_max|20251112_max|20251113_max|20251114_max|20251203_max|20251204_max|20251205_max|20251215_max|20251219_max</t>
  </si>
  <si>
    <t>20251021_min|20251107_min|20251110_min|20251111_min|20251112_min|20251113_min|20251114_min|20251203_min|20251204_min|20251205_min|20251215_min|20251219_min</t>
  </si>
  <si>
    <t>20251021_open|20251107_open|20251110_open|20251111_open|20251112_open|20251114_open|20251203_open|20251204_open|20251205_open|20251215_open|20251219_open</t>
  </si>
  <si>
    <t>20251021_min|20251107_min|20251110_min|20251111_min|20251112_min|20251114_min|20251203_min|20251204_min|20251205_min|20251215_min|20251219_min</t>
  </si>
  <si>
    <t>20251021_max|20251105_max|20251107_max|20251110_max|20251111_max|20251114_max|20251203_max|20251204_max|20251205_max|20251215_max|20251219_max</t>
  </si>
  <si>
    <t>20251021_max|20251105_max|20251107_max|20251110_max|20251111_max|20251114_max|20251128_max|20251203_max|20251204_max|20251205_max|20251215_max|20251219_max</t>
  </si>
  <si>
    <t>20251021_open|20251105_open|20251107_open|20251110_open|20251111_open|20251114_open|20251128_open|20251203_open|20251204_open|20251205_open|20251215_open|20251219_open</t>
  </si>
  <si>
    <t>20251021_close|20251105_close|20251107_close|20251110_close|20251111_close|20251114_close|20251128_close|20251203_close|20251204_close|20251205_close|20251215_close|20251219_close</t>
  </si>
  <si>
    <t>20251021_min|20251105_min|20251107_min|20251110_min|20251111_min|20251114_min|20251128_min|20251203_min|20251204_min|20251205_min|20251215_min|20251219_min</t>
  </si>
  <si>
    <t>20251021_max|20251105_max|20251107_max|20251110_max|20251114_max|20251128_max|20251203_max|20251204_max|20251205_max|20251215_max|20251217_max|20251219_max</t>
  </si>
  <si>
    <t>20251021_open|20251105_open|20251107_open|20251110_open|20251114_open|20251128_open|20251203_open|20251204_open|20251205_open|20251215_open|20251217_open|20251219_open</t>
  </si>
  <si>
    <t>20251020_max|20251021_max|20251105_max|20251107_max|20251110_max|20251114_max|20251128_max|20251203_max|20251204_max|20251205_max|20251215_max|20251217_max|20251219_max</t>
  </si>
  <si>
    <t>20251020_close|20251021_close|20251105_close|20251107_close|20251110_close|20251114_close|20251128_close|20251203_close|20251204_close|20251205_close|20251215_close|20251217_close|20251219_close</t>
  </si>
  <si>
    <t>20251020_open|20251021_open|20251105_open|20251107_open|20251110_open|20251114_open|20251128_open|20251203_open|20251204_open|20251205_open|20251215_open|20251217_open|20251219_open</t>
  </si>
  <si>
    <t>20251020_min|20251021_min|20251105_min|20251107_min|20251110_min|20251114_min|20251128_min|20251203_min|20251204_min|20251205_min|20251215_min|20251217_min|20251219_min</t>
  </si>
  <si>
    <t>20251020_max|20251105_max|20251107_max|20251110_max|20251114_max|20251128_max|20251202_max|20251203_max|20251204_max|20251205_max|20251215_max|20251217_max|20251219_max</t>
  </si>
  <si>
    <t>20251020_max|20251105_max|20251107_max|20251110_max|20251114_max|20251128_max|20251202_max|20251203_max|20251204_max|20251205_max|20251215_max|20251216_max|20251217_max|20251219_max</t>
  </si>
  <si>
    <t>20251020_min|20251105_min|20251107_min|20251110_min|20251114_min|20251128_min|20251202_min|20251203_min|20251204_min|20251205_min|20251215_min|20251216_min|20251217_min|20251219_min</t>
  </si>
  <si>
    <t>20251016_max|20251020_max|20251105_max|20251107_max|20251110_max|20251114_max|20251128_max|20251202_max|20251203_max|20251204_max|20251215_max|20251216_max|20251217_max|20251219_max</t>
  </si>
  <si>
    <t>20251016_max|20251020_max|20251022_max|20251105_max|20251107_max|20251110_max|20251114_max|20251128_max|20251202_max|20251203_max|20251204_max|20251215_max|20251216_max|20251217_max|20251219_max</t>
  </si>
  <si>
    <t>20251016_max|20251020_max|20251022_max|20251105_max|20251107_max|20251110_max|20251114_max|20251117_max|20251128_max|20251202_max|20251203_max|20251204_max|20251215_max|20251216_max|20251217_max|20251219_max</t>
  </si>
  <si>
    <t>20251016_open|20251020_open|20251022_open|20251105_open|20251107_open|20251110_open|20251114_open|20251117_open|20251128_open|20251202_open|20251203_open|20251204_open|20251215_open|20251216_open|20251217_open|20251219_open</t>
  </si>
  <si>
    <t>20251016_close|20251020_close|20251022_close|20251105_close|20251107_close|20251110_close|20251114_close|20251117_close|20251128_close|20251202_close|20251203_close|20251204_close|20251215_close|20251216_close|20251217_close|20251219_close</t>
  </si>
  <si>
    <t>20251016_max|20251020_max|20251022_max|20251105_max|20251107_max|20251110_max|20251114_max|20251117_max|20251128_max|20251201_max|20251202_max|20251203_max|20251204_max|20251215_max|20251216_max|20251217_max|20251219_max</t>
  </si>
  <si>
    <t>20251016_close|20251020_close|20251022_close|20251105_close|20251107_close|20251110_close|20251114_close|20251117_close|20251128_close|20251201_close|20251202_close|20251203_close|20251204_close|20251215_close|20251216_close|20251217_close|20251219_close</t>
  </si>
  <si>
    <t>20251016_open|20251020_open|20251022_open|20251105_open|20251107_open|20251110_open|20251114_open|20251117_open|20251128_open|20251201_open|20251202_open|20251203_open|20251204_open|20251215_open|20251216_open|20251217_open|20251219_open</t>
  </si>
  <si>
    <t>20251016_min|20251020_min|20251022_min|20251105_min|20251107_min|20251110_min|20251114_min|20251117_min|20251128_min|20251201_min|20251202_min|20251203_min|20251204_min|20251215_min|20251216_min|20251217_min|20251219_min</t>
  </si>
  <si>
    <t>20251016_min|20251020_min|20251022_min|20251105_min|20251107_min|20251110_min|20251114_min|20251117_min|20251128_min|20251201_min|20251202_min|20251203_min|20251204_min|20251216_min|20251217_min|20251219_min</t>
  </si>
  <si>
    <t>20251016_open|20251020_open|20251022_open|20251105_open|20251107_open|20251114_open|20251117_open|20251128_open|20251201_open|20251202_open|20251203_open|20251204_open|20251216_open|20251217_open|20251219_open</t>
  </si>
  <si>
    <t>20251016_min|20251020_min|20251022_min|20251105_min|20251107_min|20251114_min|20251117_min|20251128_min|20251201_min|20251202_min|20251203_min|20251204_min|20251216_min|20251217_min|20251219_min</t>
  </si>
  <si>
    <t>20251016_max|20251020_max|20251022_max|20251105_max|20251107_max|20251114_max|20251117_max|20251127_max|20251128_max|20251201_max|20251202_max|20251203_max|20251204_max|20251216_max|20251217_max</t>
  </si>
  <si>
    <t>20251016_close|20251020_close|20251022_close|20251105_close|20251107_close|20251114_close|20251117_close|20251127_close|20251128_close|20251201_close|20251202_close|20251203_close|20251204_close|20251216_close|20251217_close</t>
  </si>
  <si>
    <t>20251016_min|20251020_min|20251022_min|20251105_min|20251107_min|20251114_min|20251117_min|20251127_min|20251128_min|20251201_min|20251202_min|20251203_min|20251204_min|20251216_min|20251217_min</t>
  </si>
  <si>
    <t>20251016_close|20251020_close|20251022_close|20251105_close|20251107_close|20251114_close|20251117_close|20251127_close|20251128_close|20251201_close|20251202_close|20251203_close|20251216_close|20251217_close</t>
  </si>
  <si>
    <t>20251016_min|20251020_min|20251022_min|20251105_min|20251107_min|20251114_min|20251117_min|20251127_min|20251128_min|20251201_min|20251202_min|20251203_min|20251216_min|20251217_min</t>
  </si>
  <si>
    <t>20251016_open|20251020_open|20251022_open|20251105_open|20251114_open|20251117_open|20251127_open|20251128_open|20251201_open|20251202_open|20251203_open|20251216_open|20251217_open</t>
  </si>
  <si>
    <t>20251016_min|20251020_min|20251022_min|20251105_min|20251114_min|20251117_min|20251127_min|20251128_min|20251201_min|20251202_min|20251203_min|20251216_min|20251217_min</t>
  </si>
  <si>
    <t>20251016_open|20251020_open|20251022_open|20251105_open|20251114_open|20251117_open|20251127_open|20251128_open|20251201_open|20251202_open|20251216_open|20251217_open</t>
  </si>
  <si>
    <t>20251016_max|20251020_max|20251022_max|20251023_max|20251105_max|20251114_max|20251117_max|20251127_max|20251128_max|20251201_max|20251202_max|20251216_max|20251217_max</t>
  </si>
  <si>
    <t>20251016_max|20251020_max|20251022_max|20251023_max|20251105_max|20251114_max|20251117_max|20251127_max|20251128_max|20251201_max|20251202_max|20251216_max|20251217_max|20251218_max</t>
  </si>
  <si>
    <t>20251016_open|20251020_open|20251022_open|20251023_open|20251105_open|20251114_open|20251117_open|20251127_open|20251128_open|20251201_open|20251202_open|20251216_open|20251217_open|20251218_open</t>
  </si>
  <si>
    <t>20251016_min|20251020_min|20251022_min|20251023_min|20251105_min|20251114_min|20251117_min|20251127_min|20251128_min|20251201_min|20251202_min|20251216_min|20251217_min|20251218_min</t>
  </si>
  <si>
    <t>20251016_close|20251020_close|20251022_close|20251023_close|20251105_close|20251114_close|20251117_close|20251127_close|20251201_close|20251202_close|20251216_close|20251217_close|20251218_close</t>
  </si>
  <si>
    <t>20251016_open|20251020_open|20251022_open|20251023_open|20251105_open|20251114_open|20251117_open|20251127_open|20251201_open|20251202_open|20251216_open|20251217_open|20251218_open</t>
  </si>
  <si>
    <t>20251016_60MA|20251020_60MA|20251022_60MA|20251023_60MA|20251105_60MA|20251114_60MA|20251117_60MA|20251127_60MA|20251201_60MA|20251202_60MA|20251216_60MA|20251217_60MA|20251218_60MA</t>
  </si>
  <si>
    <t>20251016_max|20251017_max|20251020_max|20251022_max|20251023_max|20251105_max|20251114_max|20251117_max|20251127_max|20251201_max|20251202_max|20251216_max|20251217_max|20251218_max</t>
  </si>
  <si>
    <t>20251014_max|20251016_max|20251017_max|20251020_max|20251022_max|20251023_max|20251105_max|20251114_max|20251117_max|20251127_max|20251201_max|20251202_max|20251216_max|20251217_max|20251218_max</t>
  </si>
  <si>
    <t>20251014_max|20251016_max|20251017_max|20251020_max|20251022_max|20251023_max|20251105_max|20251114_max|20251117_max|20251120_max|20251127_max|20251201_max|20251202_max|20251216_max|20251217_max|20251218_max</t>
  </si>
  <si>
    <t>20251014_min|20251016_min|20251017_min|20251020_min|20251022_min|20251023_min|20251105_min|20251114_min|20251117_min|20251120_min|20251127_min|20251201_min|20251202_min|20251216_min|20251217_min|20251218_min</t>
  </si>
  <si>
    <t>20251014_open|20251016_open|20251017_open|20251020_open|20251023_open|20251105_open|20251114_open|20251117_open|20251120_open|20251127_open|20251201_open|20251202_open|20251216_open|20251217_open|20251218_open</t>
  </si>
  <si>
    <t>20251014_min|20251016_min|20251017_min|20251020_min|20251023_min|20251105_min|20251114_min|20251117_min|20251120_min|20251127_min|20251201_min|20251202_min|20251216_min|20251217_min|20251218_min</t>
  </si>
  <si>
    <t>20251014_min|20251016_min|20251017_min|20251020_min|20251023_min|20251105_min|20251114_min|20251117_min|20251120_min|20251127_min|20251201_min|20251216_min|20251217_min|20251218_min</t>
  </si>
  <si>
    <t>20251014_close|20251016_close|20251017_close|20251020_close|20251023_close|20251105_close|20251114_close|20251117_close|20251120_close|20251127_close|20251201_close|20251216_close|20251218_close</t>
  </si>
  <si>
    <t>20251009_max|20251014_max|20251016_max|20251017_max|20251020_max|20251023_max|20251105_max|20251114_max|20251117_max|20251120_max|20251127_max|20251201_max|20251216_max|20251218_max</t>
  </si>
  <si>
    <t>20251009_open|20251014_open|20251016_open|20251017_open|20251020_open|20251023_open|20251105_open|20251114_open|20251117_open|20251120_open|20251127_open|20251201_open|20251216_open|20251218_open</t>
  </si>
  <si>
    <t>20251009_close|20251014_close|20251016_close|20251017_close|20251020_close|20251023_close|20251105_close|20251114_close|20251117_close|20251120_close|20251127_close|20251201_close|20251216_close|20251218_close</t>
  </si>
  <si>
    <t>20251009_min|20251014_min|20251016_min|20251017_min|20251020_min|20251023_min|20251105_min|20251114_min|20251117_min|20251120_min|20251127_min|20251201_min|20251216_min|20251218_min</t>
  </si>
  <si>
    <t>20251009_min|20251014_min|20251016_min|20251017_min|20251020_min|20251023_min|20251105_min|20251114_min|20251120_min|20251127_min|20251201_min|20251216_min|20251218_min</t>
  </si>
  <si>
    <t>20251009_close|20251014_close|20251016_close|20251017_close|20251020_close|20251023_close|20251105_close|20251114_close|20251120_close|20251201_close|20251216_close|20251218_close</t>
  </si>
  <si>
    <t>20251009_min|20251014_min|20251016_min|20251017_min|20251020_min|20251023_min|20251105_min|20251114_min|20251120_min|20251201_min|20251216_min|20251218_min</t>
  </si>
  <si>
    <t>20251009_close|20251014_close|20251016_close|20251017_close|20251023_close|20251105_close|20251114_close|20251120_close|20251126_close|20251201_close|20251216_close|20251218_close</t>
  </si>
  <si>
    <t>20251009_max|20251014_max|20251016_max|20251017_max|20251023_max|20251105_max|20251114_max|20251120_max|20251126_max|20251201_max|20251216_max|20251218_max</t>
  </si>
  <si>
    <t>20251009_open|20251014_open|20251016_open|20251017_open|20251023_open|20251105_open|20251114_open|20251120_open|20251126_open|20251201_open|20251216_open|20251218_open</t>
  </si>
  <si>
    <t>20251009_min|20251014_min|20251016_min|20251017_min|20251023_min|20251105_min|20251114_min|20251120_min|20251126_min|20251201_min|20251216_min|20251218_min</t>
  </si>
  <si>
    <t>20251009_min|20251014_min|20251016_min|20251017_min|20251023_min|20251105_min|20251120_min|20251126_min|20251201_min|20251216_min|20251218_min</t>
  </si>
  <si>
    <t>20251009_min|20251014_min|20251016_min|20251017_min|20251023_min|20251120_min|20251126_min|20251201_min|20251216_min|20251218_min</t>
  </si>
  <si>
    <t>20251009_min|20251014_min|20251016_min|20251017_min|20251120_min|20251126_min|20251201_min|20251216_min|20251218_min</t>
  </si>
  <si>
    <t>20251009_min|20251014_min|20251016_min|20251017_min|20251120_min|20251126_min|20251201_min|20251218_min</t>
  </si>
  <si>
    <t>20251009_close|20251014_close|20251016_close|20251017_close|20251120_close|20251126_close|20251201_close</t>
  </si>
  <si>
    <t>20251009_min|20251014_min|20251016_min|20251017_min|20251120_min|20251126_min|20251201_min</t>
  </si>
  <si>
    <t>20251009_open|20251014_open|20251016_open|20251017_open|20251120_open|20251126_open</t>
  </si>
  <si>
    <t>20251009_min|20251014_min|20251016_min|20251017_min|20251120_min|20251126_min</t>
  </si>
  <si>
    <t>20251009_open|20251014_open|20251017_open|20251118_open|20251120_open|20251126_open</t>
  </si>
  <si>
    <t>20251009_max|20251014_max|20251017_max|20251118_max|20251120_max|20251126_max</t>
  </si>
  <si>
    <t>20251009_close|20251014_close|20251017_close|20251118_close|20251120_close|20251126_close</t>
  </si>
  <si>
    <t>20251009_min|20251014_min|20251017_min|20251118_min|20251120_min|20251126_min</t>
  </si>
  <si>
    <t>20251009_close|20251014_close|20251118_close|20251120_close|20251126_close</t>
  </si>
  <si>
    <t>20251009_open|20251014_open|20251118_open|20251120_open|20251126_open</t>
  </si>
  <si>
    <t>20251007_max|20251009_max|20251014_max|20251118_max|20251120_max|20251126_max</t>
  </si>
  <si>
    <t>20251007_open|20251009_open|20251014_open|20251118_open|20251120_open|20251126_open</t>
  </si>
  <si>
    <t>20251007_close|20251009_close|20251014_close|20251015_close|20251118_close|20251120_close|20251126_close</t>
  </si>
  <si>
    <t>20251007_max|20251009_max|20251014_max|20251015_max|20251118_max|20251120_max|20251126_max</t>
  </si>
  <si>
    <t>20251007_min|20251009_min|20251014_min|20251015_min|20251118_min|20251120_min|20251126_min</t>
  </si>
  <si>
    <t>20251007_open|20251014_open|20251015_open|20251118_open|20251120_open|20251126_open</t>
  </si>
  <si>
    <t>20251007_close|20251014_close|20251015_close|20251118_close|20251120_close|20251126_close</t>
  </si>
  <si>
    <t>20251007_min|20251014_min|20251015_min|20251118_min|20251120_min|20251126_min</t>
  </si>
  <si>
    <t>20251007_max|20251014_max|20251015_max|20251118_max|20251125_max|20251126_max</t>
  </si>
  <si>
    <t>20251007_max|20251008_max|20251014_max|20251015_max|20251118_max|20251125_max|20251126_max</t>
  </si>
  <si>
    <t>20251007_close|20251008_close|20251014_close|20251015_close|20251118_close|20251125_close|20251126_close</t>
  </si>
  <si>
    <t>20251007_open|20251008_open|20251014_open|20251015_open|20251118_open|20251125_open|20251126_open</t>
  </si>
  <si>
    <t>20251007_min|20251008_min|20251014_min|20251015_min|20251118_min|20251125_min|20251126_min</t>
  </si>
  <si>
    <t>20251007_open|20251008_open|20251014_open|20251015_open|20251118_open|20251125_open</t>
  </si>
  <si>
    <t>20251007_min|20251008_min|20251014_min|20251015_min|20251118_min|20251125_min</t>
  </si>
  <si>
    <t>20251008_open|20251014_open|20251015_open|20251118_open|20251125_open</t>
  </si>
  <si>
    <t>20251008_max|20251013_max|20251014_max|20251015_max|20251118_max|20251119_max|20251125_max</t>
  </si>
  <si>
    <t>20251008_min|20251013_min|20251014_min|20251015_min|20251118_min|20251119_min|20251125_min</t>
  </si>
  <si>
    <t>20251013_open|20251014_open|20251015_open|20251118_open|20251119_open|20251121_open|20251125_open</t>
  </si>
  <si>
    <t>20251013_max|20251014_max|20251015_max|20251118_max|20251119_max|20251121_max|20251125_max</t>
  </si>
  <si>
    <t>20251013_min|20251014_min|20251015_min|20251118_min|20251119_min|20251121_min|20251125_min</t>
  </si>
  <si>
    <t>20251013_close|20251014_close|20251015_close|20251118_close|20251119_close|20251121_close</t>
  </si>
  <si>
    <t>20251013_min|20251014_min|20251015_min|20251118_min|20251119_min|20251121_min</t>
  </si>
  <si>
    <t>20251013_max|20251014_max|20251118_max|20251119_max|20251121_max|20251124_max</t>
  </si>
  <si>
    <t>20251013_min|20251014_min|20251118_min|20251119_min|20251121_min|20251124_min</t>
  </si>
  <si>
    <t>20251013_open|20251118_open|20251119_open|20251121_open|20251124_open</t>
  </si>
  <si>
    <t>20251003_close|20251013_close|20251118_close|20251119_close|20251121_close|20251124_close</t>
  </si>
  <si>
    <t>20251003_max|20251013_max|20251118_max|20251119_max|20251121_max|20251124_max</t>
  </si>
  <si>
    <t>20251003_min|20251013_min|20251118_min|20251119_min|20251121_min|20251124_min</t>
  </si>
  <si>
    <t>20251002_max|20251003_max|20251013_max|20251121_max|20251124_max</t>
  </si>
  <si>
    <t>20251002_min|20251003_min|20251013_min|20251121_min|20251124_min</t>
  </si>
  <si>
    <t>20251002_min|20251003_min|20251013_min|20251121_min</t>
  </si>
  <si>
    <t>20251002_open|20251003_open|20251121_open</t>
  </si>
  <si>
    <t>20251002_close|20251003_close|20251121_close</t>
  </si>
  <si>
    <t>20251002_min|20251003_min|20251121_min</t>
  </si>
  <si>
    <t>20251002_min|20251121_min</t>
  </si>
  <si>
    <t>20251002_close</t>
  </si>
  <si>
    <t>20251001_open</t>
  </si>
  <si>
    <t>20250926_open|20251001_open</t>
  </si>
  <si>
    <t>20250926_max|20251001_max</t>
  </si>
  <si>
    <t>20250926_close|20251001_close</t>
  </si>
  <si>
    <t>20250926_min|20251001_min</t>
  </si>
  <si>
    <t>20250926_max|20250930_max</t>
  </si>
  <si>
    <t>20250926_120MA|20250930_120MA</t>
  </si>
  <si>
    <t>TAIEX-60-20251224</t>
    <phoneticPr fontId="18" type="noConversion"/>
  </si>
  <si>
    <t>remark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</si>
</sst>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[&gt;=1000000]#,##0,,&quot;M&quot;;[&gt;=1000]#,##0,&quot;K&quot;;#,##0"/>
  </numFmts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theme="4"/>
      <name val="新細明體"/>
      <family val="1"/>
      <charset val="136"/>
      <scheme val="minor"/>
    </font>
    <font>
      <sz val="12"/>
      <color theme="4"/>
      <name val="新細明體"/>
      <family val="1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8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19" fillId="0" borderId="0" xfId="0" applyFont="1">
      <alignment vertical="center"/>
    </xf>
    <xf numFmtId="10" fontId="19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82" fontId="19" fillId="0" borderId="0" xfId="0" applyNumberFormat="1" applyFont="1">
      <alignment vertical="center"/>
    </xf>
    <xf numFmtId="182" fontId="0" fillId="0" borderId="0" xfId="0" applyNumberForma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14" fontId="21" fillId="0" borderId="0" xfId="0" applyNumberFormat="1" applyFont="1">
      <alignment vertical="center"/>
    </xf>
    <xf numFmtId="0" fontId="0" fillId="33" borderId="0" xfId="0" applyFill="1">
      <alignment vertical="center"/>
    </xf>
    <xf numFmtId="182" fontId="19" fillId="34" borderId="0" xfId="0" applyNumberFormat="1" applyFont="1" applyFill="1">
      <alignment vertical="center"/>
    </xf>
    <xf numFmtId="10" fontId="19" fillId="34" borderId="0" xfId="1" applyNumberFormat="1" applyFont="1" applyFill="1">
      <alignment vertical="center"/>
    </xf>
    <xf numFmtId="10" fontId="0" fillId="0" borderId="11" xfId="1" applyNumberFormat="1" applyFont="1" applyBorder="1">
      <alignment vertical="center"/>
    </xf>
    <xf numFmtId="0" fontId="0" fillId="0" borderId="11" xfId="0" applyBorder="1" applyAlignment="1">
      <alignment horizontal="center" vertical="center"/>
    </xf>
    <xf numFmtId="0" fontId="21" fillId="0" borderId="11" xfId="0" applyFont="1" applyBorder="1">
      <alignment vertical="center"/>
    </xf>
    <xf numFmtId="14" fontId="21" fillId="0" borderId="11" xfId="0" applyNumberFormat="1" applyFont="1" applyBorder="1">
      <alignment vertical="center"/>
    </xf>
    <xf numFmtId="182" fontId="0" fillId="0" borderId="11" xfId="0" applyNumberFormat="1" applyBorder="1">
      <alignment vertical="center"/>
    </xf>
    <xf numFmtId="10" fontId="0" fillId="0" borderId="12" xfId="1" applyNumberFormat="1" applyFont="1" applyBorder="1">
      <alignment vertical="center"/>
    </xf>
    <xf numFmtId="10" fontId="0" fillId="0" borderId="14" xfId="1" applyNumberFormat="1" applyFont="1" applyBorder="1">
      <alignment vertical="center"/>
    </xf>
    <xf numFmtId="0" fontId="0" fillId="0" borderId="14" xfId="0" applyBorder="1" applyAlignment="1">
      <alignment horizontal="center" vertical="center"/>
    </xf>
    <xf numFmtId="0" fontId="21" fillId="0" borderId="14" xfId="0" applyFont="1" applyBorder="1">
      <alignment vertical="center"/>
    </xf>
    <xf numFmtId="14" fontId="21" fillId="0" borderId="14" xfId="0" applyNumberFormat="1" applyFont="1" applyBorder="1">
      <alignment vertical="center"/>
    </xf>
    <xf numFmtId="182" fontId="0" fillId="0" borderId="14" xfId="0" applyNumberFormat="1" applyBorder="1">
      <alignment vertical="center"/>
    </xf>
    <xf numFmtId="10" fontId="0" fillId="0" borderId="15" xfId="1" applyNumberFormat="1" applyFont="1" applyBorder="1">
      <alignment vertical="center"/>
    </xf>
    <xf numFmtId="10" fontId="0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Font="1" applyBorder="1">
      <alignment vertical="center"/>
    </xf>
    <xf numFmtId="14" fontId="21" fillId="0" borderId="0" xfId="0" applyNumberFormat="1" applyFont="1" applyBorder="1">
      <alignment vertical="center"/>
    </xf>
    <xf numFmtId="182" fontId="0" fillId="0" borderId="0" xfId="0" applyNumberFormat="1" applyBorder="1">
      <alignment vertical="center"/>
    </xf>
    <xf numFmtId="10" fontId="0" fillId="0" borderId="17" xfId="1" applyNumberFormat="1" applyFont="1" applyBorder="1">
      <alignment vertical="center"/>
    </xf>
    <xf numFmtId="10" fontId="0" fillId="33" borderId="0" xfId="1" applyNumberFormat="1" applyFont="1" applyFill="1" applyBorder="1">
      <alignment vertical="center"/>
    </xf>
    <xf numFmtId="0" fontId="0" fillId="33" borderId="0" xfId="0" applyFill="1" applyBorder="1" applyAlignment="1">
      <alignment horizontal="center" vertical="center"/>
    </xf>
    <xf numFmtId="0" fontId="21" fillId="33" borderId="0" xfId="0" applyFont="1" applyFill="1" applyBorder="1">
      <alignment vertical="center"/>
    </xf>
    <xf numFmtId="14" fontId="21" fillId="33" borderId="0" xfId="0" applyNumberFormat="1" applyFont="1" applyFill="1" applyBorder="1">
      <alignment vertical="center"/>
    </xf>
    <xf numFmtId="182" fontId="0" fillId="33" borderId="0" xfId="0" applyNumberFormat="1" applyFill="1" applyBorder="1">
      <alignment vertical="center"/>
    </xf>
    <xf numFmtId="10" fontId="0" fillId="33" borderId="17" xfId="1" applyNumberFormat="1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6" xfId="0" applyBorder="1">
      <alignment vertical="center"/>
    </xf>
    <xf numFmtId="0" fontId="0" fillId="0" borderId="0" xfId="0" applyBorder="1">
      <alignment vertical="center"/>
    </xf>
    <xf numFmtId="0" fontId="19" fillId="0" borderId="0" xfId="0" applyFont="1" applyAlignment="1">
      <alignment horizontal="left" vertical="center"/>
    </xf>
    <xf numFmtId="1" fontId="19" fillId="0" borderId="0" xfId="0" applyNumberFormat="1" applyFont="1">
      <alignment vertical="center"/>
    </xf>
    <xf numFmtId="1" fontId="19" fillId="0" borderId="10" xfId="0" applyNumberFormat="1" applyFont="1" applyBorder="1">
      <alignment vertical="center"/>
    </xf>
    <xf numFmtId="1" fontId="19" fillId="0" borderId="13" xfId="0" applyNumberFormat="1" applyFont="1" applyBorder="1">
      <alignment vertical="center"/>
    </xf>
    <xf numFmtId="1" fontId="19" fillId="0" borderId="16" xfId="0" applyNumberFormat="1" applyFont="1" applyBorder="1">
      <alignment vertical="center"/>
    </xf>
    <xf numFmtId="1" fontId="19" fillId="33" borderId="16" xfId="0" applyNumberFormat="1" applyFont="1" applyFill="1" applyBorder="1">
      <alignment vertical="center"/>
    </xf>
    <xf numFmtId="1" fontId="19" fillId="0" borderId="11" xfId="0" applyNumberFormat="1" applyFont="1" applyBorder="1">
      <alignment vertical="center"/>
    </xf>
    <xf numFmtId="1" fontId="19" fillId="0" borderId="14" xfId="0" applyNumberFormat="1" applyFont="1" applyBorder="1">
      <alignment vertical="center"/>
    </xf>
    <xf numFmtId="1" fontId="19" fillId="0" borderId="0" xfId="0" applyNumberFormat="1" applyFont="1" applyBorder="1">
      <alignment vertical="center"/>
    </xf>
    <xf numFmtId="1" fontId="19" fillId="35" borderId="11" xfId="0" applyNumberFormat="1" applyFont="1" applyFill="1" applyBorder="1">
      <alignment vertical="center"/>
    </xf>
    <xf numFmtId="1" fontId="19" fillId="35" borderId="0" xfId="0" applyNumberFormat="1" applyFont="1" applyFill="1">
      <alignment vertical="center"/>
    </xf>
    <xf numFmtId="1" fontId="19" fillId="33" borderId="0" xfId="0" applyNumberFormat="1" applyFont="1" applyFill="1" applyBorder="1">
      <alignment vertical="center"/>
    </xf>
    <xf numFmtId="1" fontId="19" fillId="35" borderId="0" xfId="0" applyNumberFormat="1" applyFont="1" applyFill="1" applyBorder="1">
      <alignment vertical="center"/>
    </xf>
    <xf numFmtId="1" fontId="19" fillId="35" borderId="14" xfId="0" applyNumberFormat="1" applyFont="1" applyFill="1" applyBorder="1">
      <alignment vertical="center"/>
    </xf>
    <xf numFmtId="1" fontId="19" fillId="0" borderId="0" xfId="0" applyNumberFormat="1" applyFont="1" applyFill="1" applyBorder="1">
      <alignment vertical="center"/>
    </xf>
    <xf numFmtId="0" fontId="19" fillId="0" borderId="0" xfId="0" applyFont="1" applyBorder="1" applyAlignment="1">
      <alignment horizontal="center" vertical="center"/>
    </xf>
    <xf numFmtId="1" fontId="19" fillId="35" borderId="16" xfId="0" applyNumberFormat="1" applyFont="1" applyFill="1" applyBorder="1">
      <alignment vertical="center"/>
    </xf>
    <xf numFmtId="1" fontId="19" fillId="35" borderId="10" xfId="0" applyNumberFormat="1" applyFont="1" applyFill="1" applyBorder="1">
      <alignment vertical="center"/>
    </xf>
    <xf numFmtId="1" fontId="19" fillId="35" borderId="13" xfId="0" applyNumberFormat="1" applyFont="1" applyFill="1" applyBorder="1">
      <alignment vertical="center"/>
    </xf>
    <xf numFmtId="1" fontId="19" fillId="0" borderId="16" xfId="0" applyNumberFormat="1" applyFont="1" applyFill="1" applyBorder="1">
      <alignment vertical="center"/>
    </xf>
    <xf numFmtId="1" fontId="19" fillId="0" borderId="10" xfId="0" applyNumberFormat="1" applyFont="1" applyFill="1" applyBorder="1">
      <alignment vertical="center"/>
    </xf>
    <xf numFmtId="1" fontId="19" fillId="0" borderId="11" xfId="0" applyNumberFormat="1" applyFont="1" applyFill="1" applyBorder="1">
      <alignment vertical="center"/>
    </xf>
    <xf numFmtId="0" fontId="19" fillId="36" borderId="0" xfId="0" applyFont="1" applyFill="1" applyBorder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2"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30F29-C717-4A6C-AC47-A4BFF9814AA1}">
  <dimension ref="A1:P246"/>
  <sheetViews>
    <sheetView tabSelected="1" topLeftCell="B1" workbookViewId="0">
      <pane ySplit="1" topLeftCell="A128" activePane="bottomLeft" state="frozen"/>
      <selection pane="bottomLeft" activeCell="L100" sqref="L100"/>
    </sheetView>
  </sheetViews>
  <sheetFormatPr defaultRowHeight="16.5" x14ac:dyDescent="0.25"/>
  <cols>
    <col min="1" max="1" width="19.25" hidden="1" customWidth="1"/>
    <col min="2" max="2" width="9.375" customWidth="1"/>
    <col min="3" max="3" width="8.625" style="2" customWidth="1"/>
    <col min="4" max="4" width="11.75" style="2" customWidth="1"/>
    <col min="5" max="5" width="13.5" style="4" bestFit="1" customWidth="1"/>
    <col min="6" max="6" width="14.125" style="6" hidden="1" customWidth="1"/>
    <col min="7" max="7" width="12.75" style="10" hidden="1" customWidth="1"/>
    <col min="8" max="8" width="12" style="10" customWidth="1"/>
    <col min="9" max="9" width="11.375" style="6" bestFit="1" customWidth="1"/>
    <col min="10" max="10" width="12.75" style="8" bestFit="1" customWidth="1"/>
    <col min="11" max="11" width="13.375" style="8" bestFit="1" customWidth="1"/>
    <col min="12" max="12" width="12.75" style="4" bestFit="1" customWidth="1"/>
    <col min="13" max="13" width="12.75" style="8" bestFit="1" customWidth="1"/>
    <col min="14" max="14" width="14.375" style="8" bestFit="1" customWidth="1"/>
    <col min="15" max="15" width="16.375" style="4" bestFit="1" customWidth="1"/>
    <col min="16" max="16" width="56" bestFit="1" customWidth="1"/>
  </cols>
  <sheetData>
    <row r="1" spans="1:1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5" t="s">
        <v>5</v>
      </c>
      <c r="G1" s="9" t="s">
        <v>6</v>
      </c>
      <c r="H1" s="9" t="s">
        <v>7</v>
      </c>
      <c r="I1" s="5" t="s">
        <v>8</v>
      </c>
      <c r="J1" s="7" t="s">
        <v>9</v>
      </c>
      <c r="K1" s="7" t="s">
        <v>10</v>
      </c>
      <c r="L1" s="3" t="s">
        <v>11</v>
      </c>
      <c r="M1" s="13" t="s">
        <v>12</v>
      </c>
      <c r="N1" s="13" t="s">
        <v>13</v>
      </c>
      <c r="O1" s="14" t="s">
        <v>14</v>
      </c>
      <c r="P1" s="45" t="s">
        <v>408</v>
      </c>
    </row>
    <row r="2" spans="1:16" x14ac:dyDescent="0.25">
      <c r="A2" t="s">
        <v>209</v>
      </c>
      <c r="B2" t="s">
        <v>210</v>
      </c>
      <c r="C2" s="55">
        <v>28568.02</v>
      </c>
      <c r="D2" s="55">
        <v>196.04</v>
      </c>
      <c r="E2" s="4">
        <v>6.9096340826407202E-3</v>
      </c>
      <c r="F2" s="6">
        <v>1</v>
      </c>
      <c r="G2" s="10" t="s">
        <v>211</v>
      </c>
      <c r="H2" s="11">
        <v>46002</v>
      </c>
      <c r="I2" s="6" t="s">
        <v>17</v>
      </c>
      <c r="J2" s="8">
        <v>8087246896</v>
      </c>
      <c r="K2" s="8">
        <v>13852057.783943901</v>
      </c>
      <c r="L2" s="4">
        <v>4.0816326530612197E-3</v>
      </c>
      <c r="M2" s="8">
        <v>5920211250.0071297</v>
      </c>
      <c r="N2" s="8">
        <v>10140299.830442199</v>
      </c>
      <c r="O2" s="4">
        <v>6.9387755102040802E-2</v>
      </c>
      <c r="P2" t="str">
        <f>TEXT(H2,"MM/DD")&amp;" "&amp;I2&amp;" ["&amp;TEXT(C2,"0")&amp;"] (dis： "&amp;TEXT(D2,"0")&amp;"，"&amp;TEXT(E2,"0.00%")&amp;" ) (vol_wei_pr："&amp;TEXT(O2,"0.00%")&amp;")"</f>
        <v>12/11 max [28568] (dis： 196，0.69% ) (vol_wei_pr：6.94%)</v>
      </c>
    </row>
    <row r="3" spans="1:16" x14ac:dyDescent="0.25">
      <c r="A3" t="s">
        <v>209</v>
      </c>
      <c r="B3" t="s">
        <v>210</v>
      </c>
      <c r="C3" s="46">
        <v>28554.61</v>
      </c>
      <c r="D3" s="46">
        <v>182.63000000000099</v>
      </c>
      <c r="E3" s="4">
        <v>6.4369846588077703E-3</v>
      </c>
      <c r="F3" s="6">
        <v>2</v>
      </c>
      <c r="G3" s="10" t="s">
        <v>212</v>
      </c>
      <c r="H3" s="11">
        <v>45965</v>
      </c>
      <c r="I3" s="6" t="s">
        <v>17</v>
      </c>
      <c r="J3" s="8">
        <v>8404740088</v>
      </c>
      <c r="K3" s="8">
        <v>29984306.172588501</v>
      </c>
      <c r="L3" s="4">
        <v>2.4489795918367301E-2</v>
      </c>
      <c r="M3" s="8">
        <v>2413627778.3158002</v>
      </c>
      <c r="N3" s="8">
        <v>14773071.6270521</v>
      </c>
      <c r="O3" s="4">
        <v>7.3469387755102006E-2</v>
      </c>
      <c r="P3" t="str">
        <f>TEXT(H3,"MM/DD")&amp;" "&amp;I3&amp;" ["&amp;TEXT(C3,"0")&amp;"] (dis： "&amp;TEXT(D3,"0")&amp;"，"&amp;TEXT(E3,"0.00%")&amp;" ) (vol_wei_pr："&amp;TEXT(O3,"0.00%")&amp;")"</f>
        <v>11/04 max [28555] (dis： 183，0.64% ) (vol_wei_pr：7.35%)</v>
      </c>
    </row>
    <row r="4" spans="1:16" x14ac:dyDescent="0.25">
      <c r="A4" t="s">
        <v>209</v>
      </c>
      <c r="B4" t="s">
        <v>210</v>
      </c>
      <c r="C4" s="55">
        <v>28527.68</v>
      </c>
      <c r="D4" s="55">
        <v>155.69999999999999</v>
      </c>
      <c r="E4" s="4">
        <v>5.4878087465168304E-3</v>
      </c>
      <c r="F4" s="6">
        <v>3</v>
      </c>
      <c r="G4" s="10" t="s">
        <v>213</v>
      </c>
      <c r="H4" s="11">
        <v>45960</v>
      </c>
      <c r="I4" s="6" t="s">
        <v>17</v>
      </c>
      <c r="J4" s="8">
        <v>9446378341</v>
      </c>
      <c r="K4" s="8">
        <v>52963722.201098703</v>
      </c>
      <c r="L4" s="4">
        <v>7.7551020408163196E-2</v>
      </c>
      <c r="M4" s="8">
        <v>2444876038.4430499</v>
      </c>
      <c r="N4" s="8">
        <v>20720517.4732209</v>
      </c>
      <c r="O4" s="4">
        <v>9.3877551020408095E-2</v>
      </c>
      <c r="P4" t="str">
        <f>TEXT(H4,"MM/DD")&amp;" "&amp;I4&amp;" ["&amp;TEXT(C4,"0")&amp;"] (dis： "&amp;TEXT(D4,"0")&amp;"，"&amp;TEXT(E4,"0.00%")&amp;" ) (vol_wei_pr："&amp;TEXT(O4,"0.00%")&amp;")"</f>
        <v>10/30 max [28528] (dis： 156，0.55% ) (vol_wei_pr：9.39%)</v>
      </c>
    </row>
    <row r="5" spans="1:16" x14ac:dyDescent="0.25">
      <c r="A5" t="s">
        <v>209</v>
      </c>
      <c r="B5" t="s">
        <v>210</v>
      </c>
      <c r="C5" s="53">
        <v>28494.99</v>
      </c>
      <c r="D5" s="53">
        <v>123.01000000000199</v>
      </c>
      <c r="E5" s="27">
        <v>4.3356156320426701E-3</v>
      </c>
      <c r="F5" s="28">
        <v>4</v>
      </c>
      <c r="G5" s="29" t="s">
        <v>214</v>
      </c>
      <c r="H5" s="30">
        <v>45964</v>
      </c>
      <c r="I5" s="28" t="s">
        <v>17</v>
      </c>
      <c r="J5" s="31">
        <v>8299689369</v>
      </c>
      <c r="K5" s="31">
        <v>77052911.755286798</v>
      </c>
      <c r="L5" s="27">
        <v>8.5714285714285701E-2</v>
      </c>
      <c r="M5" s="31">
        <v>2302270487.8720999</v>
      </c>
      <c r="N5" s="31">
        <v>27402674.8072666</v>
      </c>
      <c r="O5" s="27">
        <v>0.10204081632653</v>
      </c>
      <c r="P5" t="str">
        <f>TEXT(H5,"MM/DD")&amp;" "&amp;I5&amp;" ["&amp;TEXT(C5,"0")&amp;"] (dis： "&amp;TEXT(D5,"0")&amp;"，"&amp;TEXT(E5,"0.00%")&amp;" ) (vol_wei_pr："&amp;TEXT(O5,"0.00%")&amp;")"</f>
        <v>11/03 max [28495] (dis： 123，0.43% ) (vol_wei_pr：10.20%)</v>
      </c>
    </row>
    <row r="6" spans="1:16" x14ac:dyDescent="0.25">
      <c r="A6" t="s">
        <v>209</v>
      </c>
      <c r="B6" t="s">
        <v>210</v>
      </c>
      <c r="C6" s="53">
        <v>28489.759999999998</v>
      </c>
      <c r="D6" s="46">
        <v>117.779999999998</v>
      </c>
      <c r="E6" s="4">
        <v>4.1512788321435004E-3</v>
      </c>
      <c r="F6" s="6">
        <v>5</v>
      </c>
      <c r="G6" s="10" t="s">
        <v>24</v>
      </c>
      <c r="H6" s="11">
        <v>45961</v>
      </c>
      <c r="I6" s="6" t="s">
        <v>17</v>
      </c>
      <c r="J6" s="8">
        <v>8339995492</v>
      </c>
      <c r="K6" s="8">
        <v>109578926.700101</v>
      </c>
      <c r="L6" s="4">
        <v>0.114285714285714</v>
      </c>
      <c r="M6" s="8">
        <v>2234646461.4994702</v>
      </c>
      <c r="N6" s="8">
        <v>36117804.722244501</v>
      </c>
      <c r="O6" s="27">
        <v>0.14285714285714199</v>
      </c>
      <c r="P6" t="str">
        <f>TEXT(H6,"MM/DD")&amp;" "&amp;I6&amp;" ["&amp;TEXT(C6,"0")&amp;"] (dis： "&amp;TEXT(D6,"0")&amp;"，"&amp;TEXT(E6,"0.00%")&amp;" ) (vol_wei_pr："&amp;TEXT(O6,"0.00%")&amp;")"</f>
        <v>10/31 max [28490] (dis： 118，0.42% ) (vol_wei_pr：14.29%)</v>
      </c>
    </row>
    <row r="7" spans="1:16" ht="17.25" thickBot="1" x14ac:dyDescent="0.3">
      <c r="A7" t="s">
        <v>209</v>
      </c>
      <c r="B7" t="s">
        <v>210</v>
      </c>
      <c r="C7" s="55">
        <v>28486.38</v>
      </c>
      <c r="D7" s="55">
        <v>114.400000000001</v>
      </c>
      <c r="E7" s="4">
        <v>4.0321472100290998E-3</v>
      </c>
      <c r="F7" s="6">
        <v>6</v>
      </c>
      <c r="G7" s="10" t="s">
        <v>215</v>
      </c>
      <c r="H7" s="11">
        <v>46015</v>
      </c>
      <c r="I7" s="6" t="s">
        <v>17</v>
      </c>
      <c r="J7" s="8">
        <v>7899870510</v>
      </c>
      <c r="K7" s="8">
        <v>147966946.08879799</v>
      </c>
      <c r="L7" s="4">
        <v>0.24489795918367299</v>
      </c>
      <c r="M7" s="8">
        <v>7899870510</v>
      </c>
      <c r="N7" s="8">
        <v>74505824.110941499</v>
      </c>
      <c r="O7" s="4">
        <v>0.32244897959183599</v>
      </c>
      <c r="P7" t="str">
        <f>TEXT(H7,"MM/DD")&amp;" "&amp;I7&amp;" ["&amp;TEXT(C7,"0")&amp;"] (dis： "&amp;TEXT(D7,"0")&amp;"，"&amp;TEXT(E7,"0.00%")&amp;" ) (vol_wei_pr："&amp;TEXT(O7,"0.00%")&amp;")"</f>
        <v>12/24 max [28486] (dis： 114，0.40% ) (vol_wei_pr：32.24%)</v>
      </c>
    </row>
    <row r="8" spans="1:16" x14ac:dyDescent="0.25">
      <c r="A8" t="s">
        <v>209</v>
      </c>
      <c r="B8" t="s">
        <v>210</v>
      </c>
      <c r="C8" s="62">
        <v>28417.09</v>
      </c>
      <c r="D8" s="54">
        <v>45.110000000000497</v>
      </c>
      <c r="E8" s="15">
        <v>1.58994895668193E-3</v>
      </c>
      <c r="F8" s="16">
        <v>7</v>
      </c>
      <c r="G8" s="17" t="s">
        <v>216</v>
      </c>
      <c r="H8" s="18">
        <v>46001</v>
      </c>
      <c r="I8" s="16" t="s">
        <v>17</v>
      </c>
      <c r="J8" s="19">
        <v>8239950462</v>
      </c>
      <c r="K8" s="19">
        <v>184373743.51733199</v>
      </c>
      <c r="L8" s="15">
        <v>0.32040816326530602</v>
      </c>
      <c r="M8" s="19">
        <v>5826524848.3214197</v>
      </c>
      <c r="N8" s="19">
        <v>100249317.453942</v>
      </c>
      <c r="O8" s="20">
        <v>0.35306122448979499</v>
      </c>
      <c r="P8" t="str">
        <f>TEXT(H8,"MM/DD")&amp;" "&amp;I8&amp;" ["&amp;TEXT(C8,"0")&amp;"] (dis： "&amp;TEXT(D8,"0")&amp;"，"&amp;TEXT(E8,"0.00%")&amp;" ) (vol_wei_pr："&amp;TEXT(O8,"0.00%")&amp;")"</f>
        <v>12/10 max [28417] (dis： 45，0.16% ) (vol_wei_pr：35.31%)</v>
      </c>
    </row>
    <row r="9" spans="1:16" ht="17.25" thickBot="1" x14ac:dyDescent="0.3">
      <c r="A9" t="s">
        <v>209</v>
      </c>
      <c r="B9" t="s">
        <v>210</v>
      </c>
      <c r="C9" s="48">
        <v>28400.73</v>
      </c>
      <c r="D9" s="52">
        <v>28.75</v>
      </c>
      <c r="E9" s="21">
        <v>1.0133237088141101E-3</v>
      </c>
      <c r="F9" s="22">
        <v>7</v>
      </c>
      <c r="G9" s="23" t="s">
        <v>217</v>
      </c>
      <c r="H9" s="24">
        <v>46001</v>
      </c>
      <c r="I9" s="22" t="s">
        <v>20</v>
      </c>
      <c r="J9" s="25">
        <v>8239950462</v>
      </c>
      <c r="K9" s="25">
        <v>184373743.51733199</v>
      </c>
      <c r="L9" s="21">
        <v>0.32040816326530602</v>
      </c>
      <c r="M9" s="25">
        <v>5826524848.3214197</v>
      </c>
      <c r="N9" s="25">
        <v>100249317.453942</v>
      </c>
      <c r="O9" s="26">
        <v>0.35306122448979499</v>
      </c>
      <c r="P9" t="str">
        <f>TEXT(H9,"MM/DD")&amp;" "&amp;I9&amp;" ["&amp;TEXT(C9,"0")&amp;"] (dis： "&amp;TEXT(D9,"0")&amp;"，"&amp;TEXT(E9,"0.00%")&amp;" ) (vol_wei_pr："&amp;TEXT(O9,"0.00%")&amp;")"</f>
        <v>12/10 close [28401] (dis： 29，0.10% ) (vol_wei_pr：35.31%)</v>
      </c>
    </row>
    <row r="10" spans="1:16" ht="17.25" thickBot="1" x14ac:dyDescent="0.3">
      <c r="A10" t="s">
        <v>209</v>
      </c>
      <c r="B10" t="s">
        <v>210</v>
      </c>
      <c r="C10" s="55">
        <v>28395.31</v>
      </c>
      <c r="D10" s="55">
        <v>23.3300000000017</v>
      </c>
      <c r="E10" s="4">
        <v>8.2229016092643997E-4</v>
      </c>
      <c r="F10" s="6">
        <v>8</v>
      </c>
      <c r="G10" s="10" t="s">
        <v>218</v>
      </c>
      <c r="H10" s="11">
        <v>45959</v>
      </c>
      <c r="I10" s="6" t="s">
        <v>17</v>
      </c>
      <c r="J10" s="8">
        <v>9076231278</v>
      </c>
      <c r="K10" s="8">
        <v>219874921.94962499</v>
      </c>
      <c r="L10" s="4">
        <v>0.33877551020408098</v>
      </c>
      <c r="M10" s="8">
        <v>2269057819.5</v>
      </c>
      <c r="N10" s="8">
        <v>109124612.062015</v>
      </c>
      <c r="O10" s="4">
        <v>0.39183673469387698</v>
      </c>
      <c r="P10" t="str">
        <f>TEXT(H10,"MM/DD")&amp;" "&amp;I10&amp;" ["&amp;TEXT(C10,"0")&amp;"] (dis： "&amp;TEXT(D10,"0")&amp;"，"&amp;TEXT(E10,"0.00%")&amp;" ) (vol_wei_pr："&amp;TEXT(O10,"0.00%")&amp;")"</f>
        <v>10/29 max [28395] (dis： 23，0.08% ) (vol_wei_pr：39.18%)</v>
      </c>
    </row>
    <row r="11" spans="1:16" x14ac:dyDescent="0.25">
      <c r="A11" t="s">
        <v>209</v>
      </c>
      <c r="B11" t="s">
        <v>210</v>
      </c>
      <c r="C11" s="47">
        <v>28390.240000000002</v>
      </c>
      <c r="D11" s="51">
        <v>18.260000000002002</v>
      </c>
      <c r="E11" s="15">
        <v>6.4359272775470796E-4</v>
      </c>
      <c r="F11" s="16">
        <v>9</v>
      </c>
      <c r="G11" s="17" t="s">
        <v>219</v>
      </c>
      <c r="H11" s="18">
        <v>46000</v>
      </c>
      <c r="I11" s="16" t="s">
        <v>17</v>
      </c>
      <c r="J11" s="19">
        <v>8116345692</v>
      </c>
      <c r="K11" s="19">
        <v>254713509.28705001</v>
      </c>
      <c r="L11" s="15">
        <v>0.38163265306122401</v>
      </c>
      <c r="M11" s="19">
        <v>5543627476.5035496</v>
      </c>
      <c r="N11" s="19">
        <v>132920068.45770399</v>
      </c>
      <c r="O11" s="20">
        <v>0.451020408163265</v>
      </c>
      <c r="P11" t="str">
        <f>TEXT(H11,"MM/DD")&amp;" "&amp;I11&amp;" ["&amp;TEXT(C11,"0")&amp;"] (dis： "&amp;TEXT(D11,"0")&amp;"，"&amp;TEXT(E11,"0.00%")&amp;" ) (vol_wei_pr："&amp;TEXT(O11,"0.00%")&amp;")"</f>
        <v>12/09 max [28390] (dis： 18，0.06% ) (vol_wei_pr：45.10%)</v>
      </c>
    </row>
    <row r="12" spans="1:16" x14ac:dyDescent="0.25">
      <c r="A12" t="s">
        <v>209</v>
      </c>
      <c r="B12" t="s">
        <v>210</v>
      </c>
      <c r="C12" s="49">
        <v>28385.23</v>
      </c>
      <c r="D12" s="53">
        <v>13.25</v>
      </c>
      <c r="E12" s="27">
        <v>4.6701005710563702E-4</v>
      </c>
      <c r="F12" s="28">
        <v>9</v>
      </c>
      <c r="G12" s="29" t="s">
        <v>220</v>
      </c>
      <c r="H12" s="30">
        <v>46002</v>
      </c>
      <c r="I12" s="28" t="s">
        <v>22</v>
      </c>
      <c r="J12" s="31">
        <v>8087246896</v>
      </c>
      <c r="K12" s="31">
        <v>254713509.28705001</v>
      </c>
      <c r="L12" s="27">
        <v>0.38163265306122401</v>
      </c>
      <c r="M12" s="31">
        <v>5920211250.0071297</v>
      </c>
      <c r="N12" s="31">
        <v>132920068.45770399</v>
      </c>
      <c r="O12" s="32">
        <v>0.451020408163265</v>
      </c>
      <c r="P12" t="str">
        <f>TEXT(H12,"MM/DD")&amp;" "&amp;I12&amp;" ["&amp;TEXT(C12,"0")&amp;"] (dis： "&amp;TEXT(D12,"0")&amp;"，"&amp;TEXT(E12,"0.00%")&amp;" ) (vol_wei_pr："&amp;TEXT(O12,"0.00%")&amp;")"</f>
        <v>12/11 open [28385] (dis： 13，0.05% ) (vol_wei_pr：45.10%)</v>
      </c>
    </row>
    <row r="13" spans="1:16" x14ac:dyDescent="0.25">
      <c r="A13" t="s">
        <v>209</v>
      </c>
      <c r="B13" t="s">
        <v>210</v>
      </c>
      <c r="C13" s="49">
        <v>28383.61</v>
      </c>
      <c r="D13" s="53">
        <v>11.630000000001001</v>
      </c>
      <c r="E13" s="27">
        <v>4.0991146899162499E-4</v>
      </c>
      <c r="F13" s="28">
        <v>9</v>
      </c>
      <c r="G13" s="29" t="s">
        <v>220</v>
      </c>
      <c r="H13" s="30">
        <v>46015</v>
      </c>
      <c r="I13" s="28" t="s">
        <v>22</v>
      </c>
      <c r="J13" s="31">
        <v>7899870510</v>
      </c>
      <c r="K13" s="31">
        <v>254713509.28705001</v>
      </c>
      <c r="L13" s="27">
        <v>0.38163265306122401</v>
      </c>
      <c r="M13" s="31">
        <v>7899870510</v>
      </c>
      <c r="N13" s="31">
        <v>132920068.45770399</v>
      </c>
      <c r="O13" s="32">
        <v>0.451020408163265</v>
      </c>
      <c r="P13" t="str">
        <f>TEXT(H13,"MM/DD")&amp;" "&amp;I13&amp;" ["&amp;TEXT(C13,"0")&amp;"] (dis： "&amp;TEXT(D13,"0")&amp;"，"&amp;TEXT(E13,"0.00%")&amp;" ) (vol_wei_pr："&amp;TEXT(O13,"0.00%")&amp;")"</f>
        <v>12/24 open [28384] (dis： 12，0.04% ) (vol_wei_pr：45.10%)</v>
      </c>
    </row>
    <row r="14" spans="1:16" s="12" customFormat="1" x14ac:dyDescent="0.25">
      <c r="A14" s="12" t="s">
        <v>209</v>
      </c>
      <c r="B14" s="12" t="s">
        <v>210</v>
      </c>
      <c r="C14" s="50">
        <v>28371.98</v>
      </c>
      <c r="D14" s="56">
        <v>0</v>
      </c>
      <c r="E14" s="33">
        <v>0</v>
      </c>
      <c r="F14" s="34">
        <v>9</v>
      </c>
      <c r="G14" s="35" t="s">
        <v>221</v>
      </c>
      <c r="H14" s="36">
        <v>46015</v>
      </c>
      <c r="I14" s="34" t="s">
        <v>20</v>
      </c>
      <c r="J14" s="37">
        <v>7899870510</v>
      </c>
      <c r="K14" s="37">
        <v>254713509.28705001</v>
      </c>
      <c r="L14" s="33">
        <v>0.38163265306122401</v>
      </c>
      <c r="M14" s="37">
        <v>7899870510</v>
      </c>
      <c r="N14" s="37">
        <v>132920068.45770399</v>
      </c>
      <c r="O14" s="38">
        <v>0.451020408163265</v>
      </c>
      <c r="P14" s="12" t="str">
        <f>TEXT(H14,"MM/DD")&amp;" "&amp;I14&amp;" ["&amp;TEXT(C14,"0")&amp;"] (dis： "&amp;TEXT(D14,"0")&amp;"，"&amp;TEXT(E14,"0.00%")&amp;" ) (vol_wei_pr："&amp;TEXT(O14,"0.00%")&amp;")"</f>
        <v>12/24 close [28372] (dis： 0，0.00% ) (vol_wei_pr：45.10%)</v>
      </c>
    </row>
    <row r="15" spans="1:16" x14ac:dyDescent="0.25">
      <c r="A15" t="s">
        <v>209</v>
      </c>
      <c r="B15" t="s">
        <v>210</v>
      </c>
      <c r="C15" s="49">
        <v>28364.76</v>
      </c>
      <c r="D15" s="53">
        <v>-7.2200000000011597</v>
      </c>
      <c r="E15" s="27">
        <v>-2.5447642357005599E-4</v>
      </c>
      <c r="F15" s="28">
        <v>9</v>
      </c>
      <c r="G15" s="29" t="s">
        <v>220</v>
      </c>
      <c r="H15" s="30">
        <v>45965</v>
      </c>
      <c r="I15" s="28" t="s">
        <v>22</v>
      </c>
      <c r="J15" s="31">
        <v>8404740088</v>
      </c>
      <c r="K15" s="31">
        <v>254713509.28705001</v>
      </c>
      <c r="L15" s="27">
        <v>0.38163265306122401</v>
      </c>
      <c r="M15" s="31">
        <v>2413627778.3158002</v>
      </c>
      <c r="N15" s="31">
        <v>132920068.45770399</v>
      </c>
      <c r="O15" s="32">
        <v>0.451020408163265</v>
      </c>
      <c r="P15" t="str">
        <f>TEXT(H15,"MM/DD")&amp;" "&amp;I15&amp;" ["&amp;TEXT(C15,"0")&amp;"] (dis： "&amp;TEXT(D15,"0")&amp;"，"&amp;TEXT(E15,"0.00%")&amp;" ) (vol_wei_pr："&amp;TEXT(O15,"0.00%")&amp;")"</f>
        <v>11/04 open [28365] (dis： -7，-0.03% ) (vol_wei_pr：45.10%)</v>
      </c>
    </row>
    <row r="16" spans="1:16" ht="17.25" thickBot="1" x14ac:dyDescent="0.3">
      <c r="A16" t="s">
        <v>209</v>
      </c>
      <c r="B16" t="s">
        <v>210</v>
      </c>
      <c r="C16" s="48">
        <v>28364.04</v>
      </c>
      <c r="D16" s="52">
        <v>-7.9399999999986903</v>
      </c>
      <c r="E16" s="21">
        <v>-2.7985357384287902E-4</v>
      </c>
      <c r="F16" s="22">
        <v>9</v>
      </c>
      <c r="G16" s="23" t="s">
        <v>220</v>
      </c>
      <c r="H16" s="24">
        <v>46000</v>
      </c>
      <c r="I16" s="22" t="s">
        <v>22</v>
      </c>
      <c r="J16" s="25">
        <v>8116345692</v>
      </c>
      <c r="K16" s="25">
        <v>254713509.28705001</v>
      </c>
      <c r="L16" s="21">
        <v>0.38163265306122401</v>
      </c>
      <c r="M16" s="25">
        <v>5543627476.5035496</v>
      </c>
      <c r="N16" s="25">
        <v>132920068.45770399</v>
      </c>
      <c r="O16" s="26">
        <v>0.451020408163265</v>
      </c>
      <c r="P16" t="str">
        <f>TEXT(H16,"MM/DD")&amp;" "&amp;I16&amp;" ["&amp;TEXT(C16,"0")&amp;"] (dis： "&amp;TEXT(D16,"0")&amp;"，"&amp;TEXT(E16,"0.00%")&amp;" ) (vol_wei_pr："&amp;TEXT(O16,"0.00%")&amp;")"</f>
        <v>12/09 open [28364] (dis： -8，-0.03% ) (vol_wei_pr：45.10%)</v>
      </c>
    </row>
    <row r="17" spans="1:16" x14ac:dyDescent="0.25">
      <c r="A17" t="s">
        <v>209</v>
      </c>
      <c r="B17" t="s">
        <v>210</v>
      </c>
      <c r="C17" s="47">
        <v>28350.37</v>
      </c>
      <c r="D17" s="51">
        <v>-21.6100000000005</v>
      </c>
      <c r="E17" s="15">
        <v>-7.6166696860777996E-4</v>
      </c>
      <c r="F17" s="16">
        <v>10</v>
      </c>
      <c r="G17" s="17" t="s">
        <v>222</v>
      </c>
      <c r="H17" s="18">
        <v>46014</v>
      </c>
      <c r="I17" s="16" t="s">
        <v>17</v>
      </c>
      <c r="J17" s="19">
        <v>7965662925</v>
      </c>
      <c r="K17" s="19">
        <v>312632966.31460798</v>
      </c>
      <c r="L17" s="15">
        <v>0.56122448979591799</v>
      </c>
      <c r="M17" s="19">
        <v>7694323203.2272396</v>
      </c>
      <c r="N17" s="19">
        <v>188866576.15222299</v>
      </c>
      <c r="O17" s="20">
        <v>0.81020408163265301</v>
      </c>
      <c r="P17" t="str">
        <f>TEXT(H17,"MM/DD")&amp;" "&amp;I17&amp;" ["&amp;TEXT(C17,"0")&amp;"] (dis： "&amp;TEXT(D17,"0")&amp;"，"&amp;TEXT(E17,"0.00%")&amp;" ) (vol_wei_pr："&amp;TEXT(O17,"0.00%")&amp;")"</f>
        <v>12/23 max [28350] (dis： -22，-0.08% ) (vol_wei_pr：81.02%)</v>
      </c>
    </row>
    <row r="18" spans="1:16" x14ac:dyDescent="0.25">
      <c r="A18" t="s">
        <v>209</v>
      </c>
      <c r="B18" t="s">
        <v>210</v>
      </c>
      <c r="C18" s="64">
        <v>28350.240000000002</v>
      </c>
      <c r="D18" s="59">
        <v>-21.739999999997899</v>
      </c>
      <c r="E18" s="27">
        <v>-7.6624895407362997E-4</v>
      </c>
      <c r="F18" s="28">
        <v>10</v>
      </c>
      <c r="G18" s="29" t="s">
        <v>223</v>
      </c>
      <c r="H18" s="30">
        <v>45960</v>
      </c>
      <c r="I18" s="28" t="s">
        <v>22</v>
      </c>
      <c r="J18" s="31">
        <v>9446378341</v>
      </c>
      <c r="K18" s="31">
        <v>312632966.31460798</v>
      </c>
      <c r="L18" s="27">
        <v>0.56122448979591799</v>
      </c>
      <c r="M18" s="31">
        <v>2444876038.4430499</v>
      </c>
      <c r="N18" s="31">
        <v>188866576.15222299</v>
      </c>
      <c r="O18" s="32">
        <v>0.81020408163265301</v>
      </c>
      <c r="P18" t="str">
        <f>TEXT(H18,"MM/DD")&amp;" "&amp;I18&amp;" ["&amp;TEXT(C18,"0")&amp;"] (dis： "&amp;TEXT(D18,"0")&amp;"，"&amp;TEXT(E18,"0.00%")&amp;" ) (vol_wei_pr："&amp;TEXT(O18,"0.00%")&amp;")"</f>
        <v>10/30 open [28350] (dis： -22，-0.08% ) (vol_wei_pr：81.02%)</v>
      </c>
    </row>
    <row r="19" spans="1:16" x14ac:dyDescent="0.25">
      <c r="A19" t="s">
        <v>209</v>
      </c>
      <c r="B19" t="s">
        <v>210</v>
      </c>
      <c r="C19" s="49">
        <v>28334.59</v>
      </c>
      <c r="D19" s="53">
        <v>-37.389999999999397</v>
      </c>
      <c r="E19" s="27">
        <v>-1.3178495120890099E-3</v>
      </c>
      <c r="F19" s="28">
        <v>10</v>
      </c>
      <c r="G19" s="29" t="s">
        <v>224</v>
      </c>
      <c r="H19" s="30">
        <v>45964</v>
      </c>
      <c r="I19" s="28" t="s">
        <v>20</v>
      </c>
      <c r="J19" s="31">
        <v>8299689369</v>
      </c>
      <c r="K19" s="31">
        <v>312632966.31460798</v>
      </c>
      <c r="L19" s="27">
        <v>0.56122448979591799</v>
      </c>
      <c r="M19" s="31">
        <v>2302270487.8720999</v>
      </c>
      <c r="N19" s="31">
        <v>188866576.15222299</v>
      </c>
      <c r="O19" s="32">
        <v>0.81020408163265301</v>
      </c>
      <c r="P19" t="str">
        <f>TEXT(H19,"MM/DD")&amp;" "&amp;I19&amp;" ["&amp;TEXT(C19,"0")&amp;"] (dis： "&amp;TEXT(D19,"0")&amp;"，"&amp;TEXT(E19,"0.00%")&amp;" ) (vol_wei_pr："&amp;TEXT(O19,"0.00%")&amp;")"</f>
        <v>11/03 close [28335] (dis： -37，-0.13% ) (vol_wei_pr：81.02%)</v>
      </c>
    </row>
    <row r="20" spans="1:16" ht="17.25" thickBot="1" x14ac:dyDescent="0.3">
      <c r="A20" t="s">
        <v>209</v>
      </c>
      <c r="B20" t="s">
        <v>210</v>
      </c>
      <c r="C20" s="63">
        <v>28310.47</v>
      </c>
      <c r="D20" s="58">
        <v>-61.509999999998399</v>
      </c>
      <c r="E20" s="21">
        <v>-2.16798404623147E-3</v>
      </c>
      <c r="F20" s="22">
        <v>10</v>
      </c>
      <c r="G20" s="23" t="s">
        <v>224</v>
      </c>
      <c r="H20" s="24">
        <v>46014</v>
      </c>
      <c r="I20" s="22" t="s">
        <v>20</v>
      </c>
      <c r="J20" s="25">
        <v>7965662925</v>
      </c>
      <c r="K20" s="25">
        <v>312632966.31460798</v>
      </c>
      <c r="L20" s="21">
        <v>0.56122448979591799</v>
      </c>
      <c r="M20" s="25">
        <v>7694323203.2272396</v>
      </c>
      <c r="N20" s="25">
        <v>188866576.15222299</v>
      </c>
      <c r="O20" s="26">
        <v>0.81020408163265301</v>
      </c>
      <c r="P20" t="str">
        <f>TEXT(H20,"MM/DD")&amp;" "&amp;I20&amp;" ["&amp;TEXT(C20,"0")&amp;"] (dis： "&amp;TEXT(D20,"0")&amp;"，"&amp;TEXT(E20,"0.00%")&amp;" ) (vol_wei_pr："&amp;TEXT(O20,"0.00%")&amp;")"</f>
        <v>12/23 close [28310] (dis： -62，-0.22% ) (vol_wei_pr：81.02%)</v>
      </c>
    </row>
    <row r="21" spans="1:16" x14ac:dyDescent="0.25">
      <c r="A21" t="s">
        <v>209</v>
      </c>
      <c r="B21" t="s">
        <v>210</v>
      </c>
      <c r="C21" s="47">
        <v>28303.78</v>
      </c>
      <c r="D21" s="51">
        <v>-68.200000000000699</v>
      </c>
      <c r="E21" s="15">
        <v>-2.4037800675173401E-3</v>
      </c>
      <c r="F21" s="16">
        <v>11</v>
      </c>
      <c r="G21" s="17" t="s">
        <v>225</v>
      </c>
      <c r="H21" s="18">
        <v>45999</v>
      </c>
      <c r="I21" s="16" t="s">
        <v>20</v>
      </c>
      <c r="J21" s="19">
        <v>7603908443</v>
      </c>
      <c r="K21" s="19">
        <v>340045304.33328199</v>
      </c>
      <c r="L21" s="15">
        <v>0.66122448979591797</v>
      </c>
      <c r="M21" s="19">
        <v>5016708671.6656504</v>
      </c>
      <c r="N21" s="19">
        <v>206951974.58643401</v>
      </c>
      <c r="O21" s="20">
        <v>0.93061224489795902</v>
      </c>
      <c r="P21" t="str">
        <f>TEXT(H21,"MM/DD")&amp;" "&amp;I21&amp;" ["&amp;TEXT(C21,"0")&amp;"] (dis： "&amp;TEXT(D21,"0")&amp;"，"&amp;TEXT(E21,"0.00%")&amp;" ) (vol_wei_pr："&amp;TEXT(O21,"0.00%")&amp;")"</f>
        <v>12/08 close [28304] (dis： -68，-0.24% ) (vol_wei_pr：93.06%)</v>
      </c>
    </row>
    <row r="22" spans="1:16" x14ac:dyDescent="0.25">
      <c r="A22" t="s">
        <v>209</v>
      </c>
      <c r="B22" t="s">
        <v>210</v>
      </c>
      <c r="C22" s="49">
        <v>28303.78</v>
      </c>
      <c r="D22" s="53">
        <v>-68.200000000000699</v>
      </c>
      <c r="E22" s="27">
        <v>-2.4037800675173401E-3</v>
      </c>
      <c r="F22" s="28">
        <v>11</v>
      </c>
      <c r="G22" s="29" t="s">
        <v>226</v>
      </c>
      <c r="H22" s="30">
        <v>45999</v>
      </c>
      <c r="I22" s="28" t="s">
        <v>17</v>
      </c>
      <c r="J22" s="31">
        <v>7603908443</v>
      </c>
      <c r="K22" s="31">
        <v>340045304.33328199</v>
      </c>
      <c r="L22" s="27">
        <v>0.66122448979591797</v>
      </c>
      <c r="M22" s="31">
        <v>5016708671.6656504</v>
      </c>
      <c r="N22" s="31">
        <v>206951974.58643401</v>
      </c>
      <c r="O22" s="32">
        <v>0.93061224489795902</v>
      </c>
      <c r="P22" t="str">
        <f>TEXT(H22,"MM/DD")&amp;" "&amp;I22&amp;" ["&amp;TEXT(C22,"0")&amp;"] (dis： "&amp;TEXT(D22,"0")&amp;"，"&amp;TEXT(E22,"0.00%")&amp;" ) (vol_wei_pr："&amp;TEXT(O22,"0.00%")&amp;")"</f>
        <v>12/08 max [28304] (dis： -68，-0.24% ) (vol_wei_pr：93.06%)</v>
      </c>
    </row>
    <row r="23" spans="1:16" x14ac:dyDescent="0.25">
      <c r="A23" s="44" t="s">
        <v>209</v>
      </c>
      <c r="B23" t="s">
        <v>210</v>
      </c>
      <c r="C23" s="49">
        <v>28294.74</v>
      </c>
      <c r="D23" s="53">
        <v>-77.239999999997906</v>
      </c>
      <c r="E23" s="27">
        <v>-2.7224042876104501E-3</v>
      </c>
      <c r="F23" s="28">
        <v>11</v>
      </c>
      <c r="G23" s="29" t="s">
        <v>225</v>
      </c>
      <c r="H23" s="30">
        <v>45959</v>
      </c>
      <c r="I23" s="28" t="s">
        <v>20</v>
      </c>
      <c r="J23" s="31">
        <v>9076231278</v>
      </c>
      <c r="K23" s="31">
        <v>340045304.33328199</v>
      </c>
      <c r="L23" s="27">
        <v>0.66122448979591797</v>
      </c>
      <c r="M23" s="31">
        <v>2269057819.5</v>
      </c>
      <c r="N23" s="31">
        <v>206951974.58643401</v>
      </c>
      <c r="O23" s="32">
        <v>0.93061224489795902</v>
      </c>
      <c r="P23" t="str">
        <f>TEXT(H23,"MM/DD")&amp;" "&amp;I23&amp;" ["&amp;TEXT(C23,"0")&amp;"] (dis： "&amp;TEXT(D23,"0")&amp;"，"&amp;TEXT(E23,"0.00%")&amp;" ) (vol_wei_pr："&amp;TEXT(O23,"0.00%")&amp;")"</f>
        <v>10/29 close [28295] (dis： -77，-0.27% ) (vol_wei_pr：93.06%)</v>
      </c>
    </row>
    <row r="24" spans="1:16" x14ac:dyDescent="0.25">
      <c r="A24" t="s">
        <v>209</v>
      </c>
      <c r="B24" t="s">
        <v>210</v>
      </c>
      <c r="C24" s="61">
        <v>28287.53</v>
      </c>
      <c r="D24" s="57">
        <v>-84.450000000000699</v>
      </c>
      <c r="E24" s="27">
        <v>-2.9765282507601002E-3</v>
      </c>
      <c r="F24" s="28">
        <v>11</v>
      </c>
      <c r="G24" s="29" t="s">
        <v>225</v>
      </c>
      <c r="H24" s="30">
        <v>45960</v>
      </c>
      <c r="I24" s="28" t="s">
        <v>20</v>
      </c>
      <c r="J24" s="31">
        <v>9446378341</v>
      </c>
      <c r="K24" s="31">
        <v>340045304.33328199</v>
      </c>
      <c r="L24" s="27">
        <v>0.66122448979591797</v>
      </c>
      <c r="M24" s="31">
        <v>2444876038.4430499</v>
      </c>
      <c r="N24" s="31">
        <v>206951974.58643401</v>
      </c>
      <c r="O24" s="32">
        <v>0.93061224489795902</v>
      </c>
      <c r="P24" t="str">
        <f>TEXT(H24,"MM/DD")&amp;" "&amp;I24&amp;" ["&amp;TEXT(C24,"0")&amp;"] (dis： "&amp;TEXT(D24,"0")&amp;"，"&amp;TEXT(E24,"0.00%")&amp;" ) (vol_wei_pr："&amp;TEXT(O24,"0.00%")&amp;")"</f>
        <v>10/30 close [28288] (dis： -84，-0.30% ) (vol_wei_pr：93.06%)</v>
      </c>
    </row>
    <row r="25" spans="1:16" ht="17.25" thickBot="1" x14ac:dyDescent="0.3">
      <c r="A25" s="44" t="s">
        <v>209</v>
      </c>
      <c r="B25" t="s">
        <v>210</v>
      </c>
      <c r="C25" s="48">
        <v>28280.59</v>
      </c>
      <c r="D25" s="52">
        <v>-91.389999999999404</v>
      </c>
      <c r="E25" s="21">
        <v>-3.2211357825572698E-3</v>
      </c>
      <c r="F25" s="22">
        <v>11</v>
      </c>
      <c r="G25" s="23" t="s">
        <v>227</v>
      </c>
      <c r="H25" s="24">
        <v>46015</v>
      </c>
      <c r="I25" s="22" t="s">
        <v>29</v>
      </c>
      <c r="J25" s="25">
        <v>7899870510</v>
      </c>
      <c r="K25" s="25">
        <v>340045304.33328199</v>
      </c>
      <c r="L25" s="21">
        <v>0.66122448979591797</v>
      </c>
      <c r="M25" s="25">
        <v>7899870510</v>
      </c>
      <c r="N25" s="25">
        <v>206951974.58643401</v>
      </c>
      <c r="O25" s="26">
        <v>0.93061224489795902</v>
      </c>
      <c r="P25" t="str">
        <f>TEXT(H25,"MM/DD")&amp;" "&amp;I25&amp;" ["&amp;TEXT(C25,"0")&amp;"] (dis： "&amp;TEXT(D25,"0")&amp;"，"&amp;TEXT(E25,"0.00%")&amp;" ) (vol_wei_pr："&amp;TEXT(O25,"0.00%")&amp;")"</f>
        <v>12/24 min [28281] (dis： -91，-0.32% ) (vol_wei_pr：93.06%)</v>
      </c>
    </row>
    <row r="26" spans="1:16" ht="17.25" thickBot="1" x14ac:dyDescent="0.3">
      <c r="A26" t="s">
        <v>209</v>
      </c>
      <c r="B26" t="s">
        <v>210</v>
      </c>
      <c r="C26" s="46">
        <v>28280.47</v>
      </c>
      <c r="D26" s="46">
        <v>-91.509999999998399</v>
      </c>
      <c r="E26" s="4">
        <v>-3.2253653076027202E-3</v>
      </c>
      <c r="F26" s="6">
        <v>10</v>
      </c>
      <c r="G26" s="10" t="s">
        <v>228</v>
      </c>
      <c r="H26" s="11">
        <v>45961</v>
      </c>
      <c r="I26" s="6" t="s">
        <v>22</v>
      </c>
      <c r="J26" s="8">
        <v>8339995492</v>
      </c>
      <c r="K26" s="8">
        <v>301657284.94458503</v>
      </c>
      <c r="L26" s="4">
        <v>0.52653061224489695</v>
      </c>
      <c r="M26" s="8">
        <v>2234646461.4994702</v>
      </c>
      <c r="N26" s="8">
        <v>168563955.19773701</v>
      </c>
      <c r="O26" s="4">
        <v>0.68571428571428505</v>
      </c>
      <c r="P26" t="str">
        <f>TEXT(H26,"MM/DD")&amp;" "&amp;I26&amp;" ["&amp;TEXT(C26,"0")&amp;"] (dis： "&amp;TEXT(D26,"0")&amp;"，"&amp;TEXT(E26,"0.00%")&amp;" ) (vol_wei_pr："&amp;TEXT(O26,"0.00%")&amp;")"</f>
        <v>10/31 open [28280] (dis： -92，-0.32% ) (vol_wei_pr：68.57%)</v>
      </c>
    </row>
    <row r="27" spans="1:16" x14ac:dyDescent="0.25">
      <c r="A27" t="s">
        <v>209</v>
      </c>
      <c r="B27" t="s">
        <v>210</v>
      </c>
      <c r="C27" s="62">
        <v>28272.06</v>
      </c>
      <c r="D27" s="54">
        <v>-99.919999999998197</v>
      </c>
      <c r="E27" s="15">
        <v>-3.52178452120712E-3</v>
      </c>
      <c r="F27" s="16">
        <v>11</v>
      </c>
      <c r="G27" s="17" t="s">
        <v>229</v>
      </c>
      <c r="H27" s="18">
        <v>46003</v>
      </c>
      <c r="I27" s="16" t="s">
        <v>17</v>
      </c>
      <c r="J27" s="19">
        <v>8508400161</v>
      </c>
      <c r="K27" s="19">
        <v>344046683.913297</v>
      </c>
      <c r="L27" s="15">
        <v>0.69387755102040805</v>
      </c>
      <c r="M27" s="19">
        <v>6448161539.2637196</v>
      </c>
      <c r="N27" s="19">
        <v>200689112.328385</v>
      </c>
      <c r="O27" s="20">
        <v>0.90612244897959104</v>
      </c>
      <c r="P27" t="str">
        <f>TEXT(H27,"MM/DD")&amp;" "&amp;I27&amp;" ["&amp;TEXT(C27,"0")&amp;"] (dis： "&amp;TEXT(D27,"0")&amp;"，"&amp;TEXT(E27,"0.00%")&amp;" ) (vol_wei_pr："&amp;TEXT(O27,"0.00%")&amp;")"</f>
        <v>12/12 max [28272] (dis： -100，-0.35% ) (vol_wei_pr：90.61%)</v>
      </c>
    </row>
    <row r="28" spans="1:16" x14ac:dyDescent="0.25">
      <c r="A28" t="s">
        <v>209</v>
      </c>
      <c r="B28" t="s">
        <v>210</v>
      </c>
      <c r="C28" s="49">
        <v>28253.53</v>
      </c>
      <c r="D28" s="53">
        <v>-118.45</v>
      </c>
      <c r="E28" s="27">
        <v>-4.1748936803141902E-3</v>
      </c>
      <c r="F28" s="28">
        <v>11</v>
      </c>
      <c r="G28" s="29" t="s">
        <v>230</v>
      </c>
      <c r="H28" s="30">
        <v>45964</v>
      </c>
      <c r="I28" s="28" t="s">
        <v>22</v>
      </c>
      <c r="J28" s="31">
        <v>8299689369</v>
      </c>
      <c r="K28" s="31">
        <v>344046683.913297</v>
      </c>
      <c r="L28" s="27">
        <v>0.69387755102040805</v>
      </c>
      <c r="M28" s="31">
        <v>2302270487.8720999</v>
      </c>
      <c r="N28" s="31">
        <v>200689112.328385</v>
      </c>
      <c r="O28" s="32">
        <v>0.90612244897959104</v>
      </c>
      <c r="P28" t="str">
        <f>TEXT(H28,"MM/DD")&amp;" "&amp;I28&amp;" ["&amp;TEXT(C28,"0")&amp;"] (dis： "&amp;TEXT(D28,"0")&amp;"，"&amp;TEXT(E28,"0.00%")&amp;" ) (vol_wei_pr："&amp;TEXT(O28,"0.00%")&amp;")"</f>
        <v>11/03 open [28254] (dis： -118，-0.42% ) (vol_wei_pr：90.61%)</v>
      </c>
    </row>
    <row r="29" spans="1:16" x14ac:dyDescent="0.25">
      <c r="A29" t="s">
        <v>209</v>
      </c>
      <c r="B29" t="s">
        <v>210</v>
      </c>
      <c r="C29" s="49">
        <v>28253.14</v>
      </c>
      <c r="D29" s="53">
        <v>-118.84</v>
      </c>
      <c r="E29" s="27">
        <v>-4.188639636712E-3</v>
      </c>
      <c r="F29" s="28">
        <v>11</v>
      </c>
      <c r="G29" s="29" t="s">
        <v>230</v>
      </c>
      <c r="H29" s="30">
        <v>46014</v>
      </c>
      <c r="I29" s="28" t="s">
        <v>22</v>
      </c>
      <c r="J29" s="31">
        <v>7965662925</v>
      </c>
      <c r="K29" s="31">
        <v>344046683.913297</v>
      </c>
      <c r="L29" s="27">
        <v>0.69387755102040805</v>
      </c>
      <c r="M29" s="31">
        <v>7694323203.2272396</v>
      </c>
      <c r="N29" s="31">
        <v>200689112.328385</v>
      </c>
      <c r="O29" s="32">
        <v>0.90612244897959104</v>
      </c>
      <c r="P29" t="str">
        <f>TEXT(H29,"MM/DD")&amp;" "&amp;I29&amp;" ["&amp;TEXT(C29,"0")&amp;"] (dis： "&amp;TEXT(D29,"0")&amp;"，"&amp;TEXT(E29,"0.00%")&amp;" ) (vol_wei_pr："&amp;TEXT(O29,"0.00%")&amp;")"</f>
        <v>12/23 open [28253] (dis： -119，-0.42% ) (vol_wei_pr：90.61%)</v>
      </c>
    </row>
    <row r="30" spans="1:16" x14ac:dyDescent="0.25">
      <c r="A30" t="s">
        <v>209</v>
      </c>
      <c r="B30" t="s">
        <v>210</v>
      </c>
      <c r="C30" s="61">
        <v>28233.35</v>
      </c>
      <c r="D30" s="57">
        <v>-138.63000000000099</v>
      </c>
      <c r="E30" s="27">
        <v>-4.8861588087965998E-3</v>
      </c>
      <c r="F30" s="28">
        <v>11</v>
      </c>
      <c r="G30" s="29" t="s">
        <v>231</v>
      </c>
      <c r="H30" s="30">
        <v>45961</v>
      </c>
      <c r="I30" s="28" t="s">
        <v>20</v>
      </c>
      <c r="J30" s="31">
        <v>8339995492</v>
      </c>
      <c r="K30" s="31">
        <v>344046683.913297</v>
      </c>
      <c r="L30" s="27">
        <v>0.69387755102040805</v>
      </c>
      <c r="M30" s="31">
        <v>2234646461.4994702</v>
      </c>
      <c r="N30" s="31">
        <v>200689112.328385</v>
      </c>
      <c r="O30" s="32">
        <v>0.90612244897959104</v>
      </c>
      <c r="P30" t="str">
        <f>TEXT(H30,"MM/DD")&amp;" "&amp;I30&amp;" ["&amp;TEXT(C30,"0")&amp;"] (dis： "&amp;TEXT(D30,"0")&amp;"，"&amp;TEXT(E30,"0.00%")&amp;" ) (vol_wei_pr："&amp;TEXT(O30,"0.00%")&amp;")"</f>
        <v>10/31 close [28233] (dis： -139，-0.49% ) (vol_wei_pr：90.61%)</v>
      </c>
    </row>
    <row r="31" spans="1:16" ht="17.25" thickBot="1" x14ac:dyDescent="0.3">
      <c r="A31" s="44" t="s">
        <v>209</v>
      </c>
      <c r="B31" t="s">
        <v>210</v>
      </c>
      <c r="C31" s="48">
        <v>28233.35</v>
      </c>
      <c r="D31" s="52">
        <v>-138.63000000000099</v>
      </c>
      <c r="E31" s="21">
        <v>-4.8861588087965998E-3</v>
      </c>
      <c r="F31" s="22">
        <v>11</v>
      </c>
      <c r="G31" s="23" t="s">
        <v>232</v>
      </c>
      <c r="H31" s="24">
        <v>45961</v>
      </c>
      <c r="I31" s="22" t="s">
        <v>29</v>
      </c>
      <c r="J31" s="25">
        <v>8339995492</v>
      </c>
      <c r="K31" s="25">
        <v>344046683.913297</v>
      </c>
      <c r="L31" s="21">
        <v>0.69387755102040805</v>
      </c>
      <c r="M31" s="25">
        <v>2234646461.4994702</v>
      </c>
      <c r="N31" s="25">
        <v>200689112.328385</v>
      </c>
      <c r="O31" s="26">
        <v>0.90612244897959104</v>
      </c>
      <c r="P31" t="str">
        <f>TEXT(H31,"MM/DD")&amp;" "&amp;I31&amp;" ["&amp;TEXT(C31,"0")&amp;"] (dis： "&amp;TEXT(D31,"0")&amp;"，"&amp;TEXT(E31,"0.00%")&amp;" ) (vol_wei_pr："&amp;TEXT(O31,"0.00%")&amp;")"</f>
        <v>10/31 min [28233] (dis： -139，-0.49% ) (vol_wei_pr：90.61%)</v>
      </c>
    </row>
    <row r="32" spans="1:16" x14ac:dyDescent="0.25">
      <c r="A32" t="s">
        <v>209</v>
      </c>
      <c r="B32" t="s">
        <v>210</v>
      </c>
      <c r="C32" s="57">
        <v>28212.84</v>
      </c>
      <c r="D32" s="57">
        <v>-159.13999999999899</v>
      </c>
      <c r="E32" s="27">
        <v>-5.6090551311540199E-3</v>
      </c>
      <c r="F32" s="28">
        <v>10</v>
      </c>
      <c r="G32" s="29" t="s">
        <v>233</v>
      </c>
      <c r="H32" s="30">
        <v>46014</v>
      </c>
      <c r="I32" s="28" t="s">
        <v>29</v>
      </c>
      <c r="J32" s="31">
        <v>7965662925</v>
      </c>
      <c r="K32" s="31">
        <v>311520668.96848202</v>
      </c>
      <c r="L32" s="27">
        <v>0.53877551020408099</v>
      </c>
      <c r="M32" s="31">
        <v>7694323203.2272396</v>
      </c>
      <c r="N32" s="31">
        <v>191973982.413407</v>
      </c>
      <c r="O32" s="27">
        <v>0.82857142857142796</v>
      </c>
      <c r="P32" t="str">
        <f>TEXT(H32,"MM/DD")&amp;" "&amp;I32&amp;" ["&amp;TEXT(C32,"0")&amp;"] (dis： "&amp;TEXT(D32,"0")&amp;"，"&amp;TEXT(E32,"0.00%")&amp;" ) (vol_wei_pr："&amp;TEXT(O32,"0.00%")&amp;")"</f>
        <v>12/23 min [28213] (dis： -159，-0.56% ) (vol_wei_pr：82.86%)</v>
      </c>
    </row>
    <row r="33" spans="1:16" ht="17.25" thickBot="1" x14ac:dyDescent="0.3">
      <c r="A33" s="44" t="s">
        <v>209</v>
      </c>
      <c r="B33" t="s">
        <v>210</v>
      </c>
      <c r="C33" s="53">
        <v>28198.02</v>
      </c>
      <c r="D33" s="46">
        <v>-173.95999999999901</v>
      </c>
      <c r="E33" s="4">
        <v>-6.1314014742714102E-3</v>
      </c>
      <c r="F33" s="6">
        <v>9</v>
      </c>
      <c r="G33" s="10" t="s">
        <v>234</v>
      </c>
      <c r="H33" s="11">
        <v>46003</v>
      </c>
      <c r="I33" s="6" t="s">
        <v>20</v>
      </c>
      <c r="J33" s="8">
        <v>8508400161</v>
      </c>
      <c r="K33" s="8">
        <v>253601211.94092399</v>
      </c>
      <c r="L33" s="4">
        <v>0.36326530612244901</v>
      </c>
      <c r="M33" s="8">
        <v>6448161539.2637196</v>
      </c>
      <c r="N33" s="8">
        <v>136027474.718887</v>
      </c>
      <c r="O33" s="27">
        <v>0.48571428571428499</v>
      </c>
      <c r="P33" t="str">
        <f>TEXT(H33,"MM/DD")&amp;" "&amp;I33&amp;" ["&amp;TEXT(C33,"0")&amp;"] (dis： "&amp;TEXT(D33,"0")&amp;"，"&amp;TEXT(E33,"0.00%")&amp;" ) (vol_wei_pr："&amp;TEXT(O33,"0.00%")&amp;")"</f>
        <v>12/12 close [28198] (dis： -174，-0.61% ) (vol_wei_pr：48.57%)</v>
      </c>
    </row>
    <row r="34" spans="1:16" x14ac:dyDescent="0.25">
      <c r="A34" s="44" t="s">
        <v>209</v>
      </c>
      <c r="B34" t="s">
        <v>210</v>
      </c>
      <c r="C34" s="65">
        <v>28196.33</v>
      </c>
      <c r="D34" s="66">
        <v>-175.64999999999699</v>
      </c>
      <c r="E34" s="15">
        <v>-6.19096728532861E-3</v>
      </c>
      <c r="F34" s="16">
        <v>10</v>
      </c>
      <c r="G34" s="17" t="s">
        <v>235</v>
      </c>
      <c r="H34" s="18">
        <v>45957</v>
      </c>
      <c r="I34" s="16" t="s">
        <v>17</v>
      </c>
      <c r="J34" s="19">
        <v>9337097751</v>
      </c>
      <c r="K34" s="19">
        <v>299664841.69425398</v>
      </c>
      <c r="L34" s="15">
        <v>0.51428571428571401</v>
      </c>
      <c r="M34" s="19">
        <v>2177955061.7217798</v>
      </c>
      <c r="N34" s="19">
        <v>146772196.286336</v>
      </c>
      <c r="O34" s="20">
        <v>0.55918367346938702</v>
      </c>
      <c r="P34" t="str">
        <f>TEXT(H34,"MM/DD")&amp;" "&amp;I34&amp;" ["&amp;TEXT(C34,"0")&amp;"] (dis： "&amp;TEXT(D34,"0")&amp;"，"&amp;TEXT(E34,"0.00%")&amp;" ) (vol_wei_pr："&amp;TEXT(O34,"0.00%")&amp;")"</f>
        <v>10/27 max [28196] (dis： -176，-0.62% ) (vol_wei_pr：55.92%)</v>
      </c>
    </row>
    <row r="35" spans="1:16" x14ac:dyDescent="0.25">
      <c r="A35" t="s">
        <v>209</v>
      </c>
      <c r="B35" t="s">
        <v>210</v>
      </c>
      <c r="C35" s="61">
        <v>28190.76</v>
      </c>
      <c r="D35" s="57">
        <v>-181.22000000000099</v>
      </c>
      <c r="E35" s="27">
        <v>-6.3872877395233299E-3</v>
      </c>
      <c r="F35" s="28">
        <v>10</v>
      </c>
      <c r="G35" s="29" t="s">
        <v>237</v>
      </c>
      <c r="H35" s="30">
        <v>46001</v>
      </c>
      <c r="I35" s="28" t="s">
        <v>29</v>
      </c>
      <c r="J35" s="31">
        <v>8239950462</v>
      </c>
      <c r="K35" s="31">
        <v>299664841.69425398</v>
      </c>
      <c r="L35" s="27">
        <v>0.51428571428571401</v>
      </c>
      <c r="M35" s="31">
        <v>5826524848.3214197</v>
      </c>
      <c r="N35" s="31">
        <v>146772196.286336</v>
      </c>
      <c r="O35" s="32">
        <v>0.55918367346938702</v>
      </c>
      <c r="P35" t="str">
        <f>TEXT(H35,"MM/DD")&amp;" "&amp;I35&amp;" ["&amp;TEXT(C35,"0")&amp;"] (dis： "&amp;TEXT(D35,"0")&amp;"，"&amp;TEXT(E35,"0.00%")&amp;" ) (vol_wei_pr："&amp;TEXT(O35,"0.00%")&amp;")"</f>
        <v>12/10 min [28191] (dis： -181，-0.64% ) (vol_wei_pr：55.92%)</v>
      </c>
    </row>
    <row r="36" spans="1:16" ht="17.25" thickBot="1" x14ac:dyDescent="0.3">
      <c r="A36" s="44" t="s">
        <v>209</v>
      </c>
      <c r="B36" t="s">
        <v>210</v>
      </c>
      <c r="C36" s="48">
        <v>28190.76</v>
      </c>
      <c r="D36" s="52">
        <v>-181.22000000000099</v>
      </c>
      <c r="E36" s="21">
        <v>-6.3872877395233299E-3</v>
      </c>
      <c r="F36" s="22">
        <v>10</v>
      </c>
      <c r="G36" s="23" t="s">
        <v>236</v>
      </c>
      <c r="H36" s="24">
        <v>46001</v>
      </c>
      <c r="I36" s="22" t="s">
        <v>22</v>
      </c>
      <c r="J36" s="25">
        <v>8239950462</v>
      </c>
      <c r="K36" s="25">
        <v>299664841.69425398</v>
      </c>
      <c r="L36" s="21">
        <v>0.51428571428571401</v>
      </c>
      <c r="M36" s="25">
        <v>5826524848.3214197</v>
      </c>
      <c r="N36" s="25">
        <v>146772196.286336</v>
      </c>
      <c r="O36" s="26">
        <v>0.55918367346938702</v>
      </c>
      <c r="P36" t="str">
        <f>TEXT(H36,"MM/DD")&amp;" "&amp;I36&amp;" ["&amp;TEXT(C36,"0")&amp;"] (dis： "&amp;TEXT(D36,"0")&amp;"，"&amp;TEXT(E36,"0.00%")&amp;" ) (vol_wei_pr："&amp;TEXT(O36,"0.00%")&amp;")"</f>
        <v>12/10 open [28191] (dis： -181，-0.64% ) (vol_wei_pr：55.92%)</v>
      </c>
    </row>
    <row r="37" spans="1:16" x14ac:dyDescent="0.25">
      <c r="A37" s="44" t="s">
        <v>209</v>
      </c>
      <c r="B37" t="s">
        <v>210</v>
      </c>
      <c r="C37" s="47">
        <v>28187.7</v>
      </c>
      <c r="D37" s="51">
        <v>-184.27999999999801</v>
      </c>
      <c r="E37" s="15">
        <v>-6.4951406281831096E-3</v>
      </c>
      <c r="F37" s="16">
        <v>10</v>
      </c>
      <c r="G37" s="17" t="s">
        <v>238</v>
      </c>
      <c r="H37" s="18">
        <v>45972</v>
      </c>
      <c r="I37" s="16" t="s">
        <v>17</v>
      </c>
      <c r="J37" s="19">
        <v>8924063428</v>
      </c>
      <c r="K37" s="19">
        <v>285415867.79892999</v>
      </c>
      <c r="L37" s="15">
        <v>0.46734693877550998</v>
      </c>
      <c r="M37" s="19">
        <v>3047657474.1194</v>
      </c>
      <c r="N37" s="19">
        <v>128595822.68044101</v>
      </c>
      <c r="O37" s="20">
        <v>0.42653061224489702</v>
      </c>
      <c r="P37" t="str">
        <f>TEXT(H37,"MM/DD")&amp;" "&amp;I37&amp;" ["&amp;TEXT(C37,"0")&amp;"] (dis： "&amp;TEXT(D37,"0")&amp;"，"&amp;TEXT(E37,"0.00%")&amp;" ) (vol_wei_pr："&amp;TEXT(O37,"0.00%")&amp;")"</f>
        <v>11/11 max [28188] (dis： -184，-0.65% ) (vol_wei_pr：42.65%)</v>
      </c>
    </row>
    <row r="38" spans="1:16" ht="17.25" thickBot="1" x14ac:dyDescent="0.3">
      <c r="A38" t="s">
        <v>209</v>
      </c>
      <c r="B38" t="s">
        <v>210</v>
      </c>
      <c r="C38" s="48">
        <v>28182.6</v>
      </c>
      <c r="D38" s="52">
        <v>-189.38000000000099</v>
      </c>
      <c r="E38" s="21">
        <v>-6.6748954426162996E-3</v>
      </c>
      <c r="F38" s="22">
        <v>10</v>
      </c>
      <c r="G38" s="23" t="s">
        <v>239</v>
      </c>
      <c r="H38" s="24">
        <v>46000</v>
      </c>
      <c r="I38" s="22" t="s">
        <v>20</v>
      </c>
      <c r="J38" s="25">
        <v>8116345692</v>
      </c>
      <c r="K38" s="25">
        <v>285415867.79892999</v>
      </c>
      <c r="L38" s="21">
        <v>0.46734693877550998</v>
      </c>
      <c r="M38" s="25">
        <v>5543627476.5035496</v>
      </c>
      <c r="N38" s="25">
        <v>128595822.68044101</v>
      </c>
      <c r="O38" s="26">
        <v>0.42653061224489702</v>
      </c>
      <c r="P38" t="str">
        <f>TEXT(H38,"MM/DD")&amp;" "&amp;I38&amp;" ["&amp;TEXT(C38,"0")&amp;"] (dis： "&amp;TEXT(D38,"0")&amp;"，"&amp;TEXT(E38,"0.00%")&amp;" ) (vol_wei_pr："&amp;TEXT(O38,"0.00%")&amp;")"</f>
        <v>12/09 close [28183] (dis： -189，-0.67% ) (vol_wei_pr：42.65%)</v>
      </c>
    </row>
    <row r="39" spans="1:16" x14ac:dyDescent="0.25">
      <c r="A39" t="s">
        <v>209</v>
      </c>
      <c r="B39" t="s">
        <v>210</v>
      </c>
      <c r="C39" s="47">
        <v>28168.75</v>
      </c>
      <c r="D39" s="51">
        <v>-203.229999999999</v>
      </c>
      <c r="E39" s="15">
        <v>-7.1630531249493104E-3</v>
      </c>
      <c r="F39" s="16">
        <v>11</v>
      </c>
      <c r="G39" s="17" t="s">
        <v>240</v>
      </c>
      <c r="H39" s="18">
        <v>46013</v>
      </c>
      <c r="I39" s="16" t="s">
        <v>17</v>
      </c>
      <c r="J39" s="19">
        <v>8984157012</v>
      </c>
      <c r="K39" s="19">
        <v>334754969.40802503</v>
      </c>
      <c r="L39" s="15">
        <v>0.61632653061224396</v>
      </c>
      <c r="M39" s="19">
        <v>8382514893.3427401</v>
      </c>
      <c r="N39" s="19">
        <v>174630832.25451201</v>
      </c>
      <c r="O39" s="20">
        <v>0.73877551020408105</v>
      </c>
      <c r="P39" t="str">
        <f>TEXT(H39,"MM/DD")&amp;" "&amp;I39&amp;" ["&amp;TEXT(C39,"0")&amp;"] (dis： "&amp;TEXT(D39,"0")&amp;"，"&amp;TEXT(E39,"0.00%")&amp;" ) (vol_wei_pr："&amp;TEXT(O39,"0.00%")&amp;")"</f>
        <v>12/22 max [28169] (dis： -203，-0.72% ) (vol_wei_pr：73.88%)</v>
      </c>
    </row>
    <row r="40" spans="1:16" x14ac:dyDescent="0.25">
      <c r="A40" t="s">
        <v>209</v>
      </c>
      <c r="B40" t="s">
        <v>210</v>
      </c>
      <c r="C40" s="61">
        <v>28157.91</v>
      </c>
      <c r="D40" s="57">
        <v>-214.069999999999</v>
      </c>
      <c r="E40" s="27">
        <v>-7.5451202207248002E-3</v>
      </c>
      <c r="F40" s="28">
        <v>11</v>
      </c>
      <c r="G40" s="29" t="s">
        <v>241</v>
      </c>
      <c r="H40" s="30">
        <v>45959</v>
      </c>
      <c r="I40" s="28" t="s">
        <v>22</v>
      </c>
      <c r="J40" s="31">
        <v>9076231278</v>
      </c>
      <c r="K40" s="31">
        <v>334754969.40802503</v>
      </c>
      <c r="L40" s="27">
        <v>0.61632653061224396</v>
      </c>
      <c r="M40" s="31">
        <v>2269057819.5</v>
      </c>
      <c r="N40" s="31">
        <v>174630832.25451201</v>
      </c>
      <c r="O40" s="32">
        <v>0.73877551020408105</v>
      </c>
      <c r="P40" t="str">
        <f>TEXT(H40,"MM/DD")&amp;" "&amp;I40&amp;" ["&amp;TEXT(C40,"0")&amp;"] (dis： "&amp;TEXT(D40,"0")&amp;"，"&amp;TEXT(E40,"0.00%")&amp;" ) (vol_wei_pr："&amp;TEXT(O40,"0.00%")&amp;")"</f>
        <v>10/29 open [28158] (dis： -214，-0.75% ) (vol_wei_pr：73.88%)</v>
      </c>
    </row>
    <row r="41" spans="1:16" ht="17.25" thickBot="1" x14ac:dyDescent="0.3">
      <c r="A41" t="s">
        <v>209</v>
      </c>
      <c r="B41" t="s">
        <v>210</v>
      </c>
      <c r="C41" s="48">
        <v>28157.27</v>
      </c>
      <c r="D41" s="52">
        <v>-214.70999999999901</v>
      </c>
      <c r="E41" s="21">
        <v>-7.5676776876340297E-3</v>
      </c>
      <c r="F41" s="22">
        <v>11</v>
      </c>
      <c r="G41" s="23" t="s">
        <v>242</v>
      </c>
      <c r="H41" s="24">
        <v>46000</v>
      </c>
      <c r="I41" s="22" t="s">
        <v>29</v>
      </c>
      <c r="J41" s="25">
        <v>8116345692</v>
      </c>
      <c r="K41" s="25">
        <v>334754969.40802503</v>
      </c>
      <c r="L41" s="21">
        <v>0.61632653061224396</v>
      </c>
      <c r="M41" s="25">
        <v>5543627476.5035496</v>
      </c>
      <c r="N41" s="25">
        <v>174630832.25451201</v>
      </c>
      <c r="O41" s="26">
        <v>0.73877551020408105</v>
      </c>
      <c r="P41" t="str">
        <f>TEXT(H41,"MM/DD")&amp;" "&amp;I41&amp;" ["&amp;TEXT(C41,"0")&amp;"] (dis： "&amp;TEXT(D41,"0")&amp;"，"&amp;TEXT(E41,"0.00%")&amp;" ) (vol_wei_pr："&amp;TEXT(O41,"0.00%")&amp;")"</f>
        <v>12/09 min [28157] (dis： -215，-0.76% ) (vol_wei_pr：73.88%)</v>
      </c>
    </row>
    <row r="42" spans="1:16" ht="17.25" thickBot="1" x14ac:dyDescent="0.3">
      <c r="A42" t="s">
        <v>209</v>
      </c>
      <c r="B42" t="s">
        <v>210</v>
      </c>
      <c r="C42" s="59">
        <v>28150.45</v>
      </c>
      <c r="D42" s="59">
        <v>-221.52999999999801</v>
      </c>
      <c r="E42" s="27">
        <v>-7.8080556943857498E-3</v>
      </c>
      <c r="F42" s="28">
        <v>10</v>
      </c>
      <c r="G42" s="29" t="s">
        <v>243</v>
      </c>
      <c r="H42" s="30">
        <v>45964</v>
      </c>
      <c r="I42" s="28" t="s">
        <v>29</v>
      </c>
      <c r="J42" s="31">
        <v>8299689369</v>
      </c>
      <c r="K42" s="31">
        <v>299916382.07059902</v>
      </c>
      <c r="L42" s="27">
        <v>0.522448979591836</v>
      </c>
      <c r="M42" s="31">
        <v>2302270487.8720999</v>
      </c>
      <c r="N42" s="31">
        <v>150835375.85882401</v>
      </c>
      <c r="O42" s="27">
        <v>0.59183673469387699</v>
      </c>
      <c r="P42" t="str">
        <f>TEXT(H42,"MM/DD")&amp;" "&amp;I42&amp;" ["&amp;TEXT(C42,"0")&amp;"] (dis： "&amp;TEXT(D42,"0")&amp;"，"&amp;TEXT(E42,"0.00%")&amp;" ) (vol_wei_pr："&amp;TEXT(O42,"0.00%")&amp;")"</f>
        <v>11/03 min [28150] (dis： -222，-0.78% ) (vol_wei_pr：59.18%)</v>
      </c>
    </row>
    <row r="43" spans="1:16" x14ac:dyDescent="0.25">
      <c r="A43" t="s">
        <v>209</v>
      </c>
      <c r="B43" t="s">
        <v>210</v>
      </c>
      <c r="C43" s="47">
        <v>28149.64</v>
      </c>
      <c r="D43" s="51">
        <v>-222.34</v>
      </c>
      <c r="E43" s="15">
        <v>-7.8366049884428194E-3</v>
      </c>
      <c r="F43" s="16">
        <v>9</v>
      </c>
      <c r="G43" s="17" t="s">
        <v>244</v>
      </c>
      <c r="H43" s="18">
        <v>46013</v>
      </c>
      <c r="I43" s="16" t="s">
        <v>20</v>
      </c>
      <c r="J43" s="19">
        <v>8984157012</v>
      </c>
      <c r="K43" s="19">
        <v>275827192.51641101</v>
      </c>
      <c r="L43" s="15">
        <v>0.42653061224489702</v>
      </c>
      <c r="M43" s="19">
        <v>8382514893.3427401</v>
      </c>
      <c r="N43" s="19">
        <v>144153218.52477801</v>
      </c>
      <c r="O43" s="20">
        <v>0.53673469387755102</v>
      </c>
      <c r="P43" t="str">
        <f>TEXT(H43,"MM/DD")&amp;" "&amp;I43&amp;" ["&amp;TEXT(C43,"0")&amp;"] (dis： "&amp;TEXT(D43,"0")&amp;"，"&amp;TEXT(E43,"0.00%")&amp;" ) (vol_wei_pr："&amp;TEXT(O43,"0.00%")&amp;")"</f>
        <v>12/22 close [28150] (dis： -222，-0.78% ) (vol_wei_pr：53.67%)</v>
      </c>
    </row>
    <row r="44" spans="1:16" ht="17.25" thickBot="1" x14ac:dyDescent="0.3">
      <c r="A44" t="s">
        <v>209</v>
      </c>
      <c r="B44" t="s">
        <v>210</v>
      </c>
      <c r="C44" s="48">
        <v>28139.65</v>
      </c>
      <c r="D44" s="52">
        <v>-232.32999999999799</v>
      </c>
      <c r="E44" s="21">
        <v>-8.1887129484793791E-3</v>
      </c>
      <c r="F44" s="22">
        <v>9</v>
      </c>
      <c r="G44" s="23" t="s">
        <v>245</v>
      </c>
      <c r="H44" s="24">
        <v>45959</v>
      </c>
      <c r="I44" s="22" t="s">
        <v>29</v>
      </c>
      <c r="J44" s="25">
        <v>9076231278</v>
      </c>
      <c r="K44" s="25">
        <v>275827192.51641101</v>
      </c>
      <c r="L44" s="21">
        <v>0.42653061224489702</v>
      </c>
      <c r="M44" s="25">
        <v>2269057819.5</v>
      </c>
      <c r="N44" s="25">
        <v>144153218.52477801</v>
      </c>
      <c r="O44" s="26">
        <v>0.53673469387755102</v>
      </c>
      <c r="P44" t="str">
        <f>TEXT(H44,"MM/DD")&amp;" "&amp;I44&amp;" ["&amp;TEXT(C44,"0")&amp;"] (dis： "&amp;TEXT(D44,"0")&amp;"，"&amp;TEXT(E44,"0.00%")&amp;" ) (vol_wei_pr："&amp;TEXT(O44,"0.00%")&amp;")"</f>
        <v>10/29 min [28140] (dis： -232，-0.82% ) (vol_wei_pr：53.67%)</v>
      </c>
    </row>
    <row r="45" spans="1:16" x14ac:dyDescent="0.25">
      <c r="A45" t="s">
        <v>209</v>
      </c>
      <c r="B45" s="44" t="s">
        <v>210</v>
      </c>
      <c r="C45" s="47">
        <v>28119.79</v>
      </c>
      <c r="D45" s="51">
        <v>-252.18999999999801</v>
      </c>
      <c r="E45" s="15">
        <v>-8.8886993435071705E-3</v>
      </c>
      <c r="F45" s="16">
        <v>9</v>
      </c>
      <c r="G45" s="17" t="s">
        <v>246</v>
      </c>
      <c r="H45" s="18">
        <v>46006</v>
      </c>
      <c r="I45" s="16" t="s">
        <v>22</v>
      </c>
      <c r="J45" s="19">
        <v>7855274707</v>
      </c>
      <c r="K45" s="19">
        <v>258387438.500103</v>
      </c>
      <c r="L45" s="15">
        <v>0.4</v>
      </c>
      <c r="M45" s="19">
        <v>6163123619.7227497</v>
      </c>
      <c r="N45" s="19">
        <v>149448630.29885101</v>
      </c>
      <c r="O45" s="20">
        <v>0.57142857142857095</v>
      </c>
      <c r="P45" t="str">
        <f>TEXT(H45,"MM/DD")&amp;" "&amp;I45&amp;" ["&amp;TEXT(C45,"0")&amp;"] (dis： "&amp;TEXT(D45,"0")&amp;"，"&amp;TEXT(E45,"0.00%")&amp;" ) (vol_wei_pr："&amp;TEXT(O45,"0.00%")&amp;")"</f>
        <v>12/15 open [28120] (dis： -252，-0.89% ) (vol_wei_pr：57.14%)</v>
      </c>
    </row>
    <row r="46" spans="1:16" x14ac:dyDescent="0.25">
      <c r="A46" t="s">
        <v>209</v>
      </c>
      <c r="B46" s="44" t="s">
        <v>210</v>
      </c>
      <c r="C46" s="49">
        <v>28119.79</v>
      </c>
      <c r="D46" s="53">
        <v>-252.18999999999801</v>
      </c>
      <c r="E46" s="27">
        <v>-8.8886993435071705E-3</v>
      </c>
      <c r="F46" s="28">
        <v>9</v>
      </c>
      <c r="G46" s="29" t="s">
        <v>247</v>
      </c>
      <c r="H46" s="30">
        <v>46006</v>
      </c>
      <c r="I46" s="28" t="s">
        <v>17</v>
      </c>
      <c r="J46" s="31">
        <v>7855274707</v>
      </c>
      <c r="K46" s="31">
        <v>258387438.500103</v>
      </c>
      <c r="L46" s="27">
        <v>0.4</v>
      </c>
      <c r="M46" s="31">
        <v>6163123619.7227497</v>
      </c>
      <c r="N46" s="31">
        <v>149448630.29885101</v>
      </c>
      <c r="O46" s="32">
        <v>0.57142857142857095</v>
      </c>
      <c r="P46" t="str">
        <f>TEXT(H46,"MM/DD")&amp;" "&amp;I46&amp;" ["&amp;TEXT(C46,"0")&amp;"] (dis： "&amp;TEXT(D46,"0")&amp;"，"&amp;TEXT(E46,"0.00%")&amp;" ) (vol_wei_pr："&amp;TEXT(O46,"0.00%")&amp;")"</f>
        <v>12/15 max [28120] (dis： -252，-0.89% ) (vol_wei_pr：57.14%)</v>
      </c>
    </row>
    <row r="47" spans="1:16" ht="17.25" thickBot="1" x14ac:dyDescent="0.3">
      <c r="A47" t="s">
        <v>209</v>
      </c>
      <c r="B47" s="44" t="s">
        <v>210</v>
      </c>
      <c r="C47" s="63">
        <v>28116.6</v>
      </c>
      <c r="D47" s="58">
        <v>-255.38000000000099</v>
      </c>
      <c r="E47" s="21">
        <v>-9.0011342176330601E-3</v>
      </c>
      <c r="F47" s="22">
        <v>9</v>
      </c>
      <c r="G47" s="23" t="s">
        <v>248</v>
      </c>
      <c r="H47" s="24">
        <v>45960</v>
      </c>
      <c r="I47" s="22" t="s">
        <v>29</v>
      </c>
      <c r="J47" s="25">
        <v>9446378341</v>
      </c>
      <c r="K47" s="25">
        <v>258387438.500103</v>
      </c>
      <c r="L47" s="21">
        <v>0.4</v>
      </c>
      <c r="M47" s="25">
        <v>2444876038.4430499</v>
      </c>
      <c r="N47" s="25">
        <v>149448630.29885101</v>
      </c>
      <c r="O47" s="26">
        <v>0.57142857142857095</v>
      </c>
      <c r="P47" t="str">
        <f>TEXT(H47,"MM/DD")&amp;" "&amp;I47&amp;" ["&amp;TEXT(C47,"0")&amp;"] (dis： "&amp;TEXT(D47,"0")&amp;"，"&amp;TEXT(E47,"0.00%")&amp;" ) (vol_wei_pr："&amp;TEXT(O47,"0.00%")&amp;")"</f>
        <v>10/30 min [28117] (dis： -255，-0.90% ) (vol_wei_pr：57.14%)</v>
      </c>
    </row>
    <row r="48" spans="1:16" x14ac:dyDescent="0.25">
      <c r="A48" s="39" t="s">
        <v>209</v>
      </c>
      <c r="B48" s="44" t="s">
        <v>210</v>
      </c>
      <c r="C48" s="47">
        <v>28116.560000000001</v>
      </c>
      <c r="D48" s="51">
        <v>-255.419999999998</v>
      </c>
      <c r="E48" s="15">
        <v>-9.0025440593147904E-3</v>
      </c>
      <c r="F48" s="16">
        <v>8</v>
      </c>
      <c r="G48" s="17" t="s">
        <v>249</v>
      </c>
      <c r="H48" s="18">
        <v>45965</v>
      </c>
      <c r="I48" s="16" t="s">
        <v>20</v>
      </c>
      <c r="J48" s="19">
        <v>8404740088</v>
      </c>
      <c r="K48" s="19">
        <v>235408022.47159201</v>
      </c>
      <c r="L48" s="15">
        <v>0.35306122448979499</v>
      </c>
      <c r="M48" s="19">
        <v>2413627778.3158002</v>
      </c>
      <c r="N48" s="19">
        <v>143501184.45268199</v>
      </c>
      <c r="O48" s="20">
        <v>0.52857142857142803</v>
      </c>
      <c r="P48" t="str">
        <f>TEXT(H48,"MM/DD")&amp;" "&amp;I48&amp;" ["&amp;TEXT(C48,"0")&amp;"] (dis： "&amp;TEXT(D48,"0")&amp;"，"&amp;TEXT(E48,"0.00%")&amp;" ) (vol_wei_pr："&amp;TEXT(O48,"0.00%")&amp;")"</f>
        <v>11/04 close [28117] (dis： -255，-0.90% ) (vol_wei_pr：52.86%)</v>
      </c>
    </row>
    <row r="49" spans="1:16" ht="17.25" thickBot="1" x14ac:dyDescent="0.3">
      <c r="A49" s="41" t="s">
        <v>209</v>
      </c>
      <c r="B49" s="44" t="s">
        <v>210</v>
      </c>
      <c r="C49" s="48">
        <v>28097.54</v>
      </c>
      <c r="D49" s="52">
        <v>-274.43999999999801</v>
      </c>
      <c r="E49" s="21">
        <v>-9.6729237790241802E-3</v>
      </c>
      <c r="F49" s="22">
        <v>8</v>
      </c>
      <c r="G49" s="23" t="s">
        <v>250</v>
      </c>
      <c r="H49" s="24">
        <v>46003</v>
      </c>
      <c r="I49" s="22" t="s">
        <v>22</v>
      </c>
      <c r="J49" s="25">
        <v>8508400161</v>
      </c>
      <c r="K49" s="25">
        <v>235408022.47159201</v>
      </c>
      <c r="L49" s="21">
        <v>0.35306122448979499</v>
      </c>
      <c r="M49" s="25">
        <v>6448161539.2637196</v>
      </c>
      <c r="N49" s="25">
        <v>143501184.45268199</v>
      </c>
      <c r="O49" s="26">
        <v>0.52857142857142803</v>
      </c>
      <c r="P49" t="str">
        <f>TEXT(H49,"MM/DD")&amp;" "&amp;I49&amp;" ["&amp;TEXT(C49,"0")&amp;"] (dis： "&amp;TEXT(D49,"0")&amp;"，"&amp;TEXT(E49,"0.00%")&amp;" ) (vol_wei_pr："&amp;TEXT(O49,"0.00%")&amp;")"</f>
        <v>12/12 open [28098] (dis： -274，-0.97% ) (vol_wei_pr：52.86%)</v>
      </c>
    </row>
    <row r="50" spans="1:16" ht="17.25" thickBot="1" x14ac:dyDescent="0.3">
      <c r="A50" s="44" t="s">
        <v>209</v>
      </c>
      <c r="B50" s="44" t="s">
        <v>210</v>
      </c>
      <c r="C50" s="59">
        <v>28087.93</v>
      </c>
      <c r="D50" s="59">
        <v>-284.04999999999899</v>
      </c>
      <c r="E50" s="27">
        <v>-1.00116382430834E-2</v>
      </c>
      <c r="F50" s="28">
        <v>9</v>
      </c>
      <c r="G50" s="29" t="s">
        <v>251</v>
      </c>
      <c r="H50" s="30">
        <v>45958</v>
      </c>
      <c r="I50" s="28" t="s">
        <v>17</v>
      </c>
      <c r="J50" s="31">
        <v>8579810711</v>
      </c>
      <c r="K50" s="31">
        <v>277817249.45493501</v>
      </c>
      <c r="L50" s="27">
        <v>0.43265306122448899</v>
      </c>
      <c r="M50" s="31">
        <v>2071887715.26335</v>
      </c>
      <c r="N50" s="31">
        <v>153742337.70888901</v>
      </c>
      <c r="O50" s="27">
        <v>0.59591836734693804</v>
      </c>
      <c r="P50" t="str">
        <f>TEXT(H50,"MM/DD")&amp;" "&amp;I50&amp;" ["&amp;TEXT(C50,"0")&amp;"] (dis： "&amp;TEXT(D50,"0")&amp;"，"&amp;TEXT(E50,"0.00%")&amp;" ) (vol_wei_pr："&amp;TEXT(O50,"0.00%")&amp;")"</f>
        <v>10/28 max [28088] (dis： -284，-1.00% ) (vol_wei_pr：59.59%)</v>
      </c>
    </row>
    <row r="51" spans="1:16" x14ac:dyDescent="0.25">
      <c r="A51" t="s">
        <v>209</v>
      </c>
      <c r="B51" s="44" t="s">
        <v>210</v>
      </c>
      <c r="C51" s="62">
        <v>28071.759999999998</v>
      </c>
      <c r="D51" s="54">
        <v>-300.22000000000099</v>
      </c>
      <c r="E51" s="15">
        <v>-1.05815667429626E-2</v>
      </c>
      <c r="F51" s="16">
        <v>10</v>
      </c>
      <c r="G51" s="17" t="s">
        <v>252</v>
      </c>
      <c r="H51" s="18">
        <v>45973</v>
      </c>
      <c r="I51" s="16" t="s">
        <v>17</v>
      </c>
      <c r="J51" s="19">
        <v>8954069218</v>
      </c>
      <c r="K51" s="19">
        <v>310755997.31396902</v>
      </c>
      <c r="L51" s="15">
        <v>0.53265306122448897</v>
      </c>
      <c r="M51" s="19">
        <v>3165741531.6307602</v>
      </c>
      <c r="N51" s="19">
        <v>165387943.69634801</v>
      </c>
      <c r="O51" s="20">
        <v>0.66734693877550999</v>
      </c>
      <c r="P51" t="str">
        <f>TEXT(H51,"MM/DD")&amp;" "&amp;I51&amp;" ["&amp;TEXT(C51,"0")&amp;"] (dis： "&amp;TEXT(D51,"0")&amp;"，"&amp;TEXT(E51,"0.00%")&amp;" ) (vol_wei_pr："&amp;TEXT(O51,"0.00%")&amp;")"</f>
        <v>11/12 max [28072] (dis： -300，-1.06% ) (vol_wei_pr：66.73%)</v>
      </c>
    </row>
    <row r="52" spans="1:16" ht="17.25" thickBot="1" x14ac:dyDescent="0.3">
      <c r="A52" s="44" t="s">
        <v>209</v>
      </c>
      <c r="B52" s="44" t="s">
        <v>210</v>
      </c>
      <c r="C52" s="48">
        <v>28071.34</v>
      </c>
      <c r="D52" s="52">
        <v>-300.63999999999902</v>
      </c>
      <c r="E52" s="21">
        <v>-1.0596370080621699E-2</v>
      </c>
      <c r="F52" s="22">
        <v>10</v>
      </c>
      <c r="G52" s="23" t="s">
        <v>253</v>
      </c>
      <c r="H52" s="24">
        <v>46003</v>
      </c>
      <c r="I52" s="22" t="s">
        <v>29</v>
      </c>
      <c r="J52" s="25">
        <v>8508400161</v>
      </c>
      <c r="K52" s="25">
        <v>310755997.31396902</v>
      </c>
      <c r="L52" s="21">
        <v>0.53265306122448897</v>
      </c>
      <c r="M52" s="25">
        <v>6448161539.2637196</v>
      </c>
      <c r="N52" s="25">
        <v>165387943.69634801</v>
      </c>
      <c r="O52" s="26">
        <v>0.66734693877550999</v>
      </c>
      <c r="P52" t="str">
        <f>TEXT(H52,"MM/DD")&amp;" "&amp;I52&amp;" ["&amp;TEXT(C52,"0")&amp;"] (dis： "&amp;TEXT(D52,"0")&amp;"，"&amp;TEXT(E52,"0.00%")&amp;" ) (vol_wei_pr："&amp;TEXT(O52,"0.00%")&amp;")"</f>
        <v>12/12 min [28071] (dis： -301，-1.06% ) (vol_wei_pr：66.73%)</v>
      </c>
    </row>
    <row r="53" spans="1:16" x14ac:dyDescent="0.25">
      <c r="A53" s="39" t="s">
        <v>209</v>
      </c>
      <c r="B53" s="44" t="s">
        <v>210</v>
      </c>
      <c r="C53" s="47">
        <v>28061.53</v>
      </c>
      <c r="D53" s="51">
        <v>-310.45</v>
      </c>
      <c r="E53" s="15">
        <v>-1.0942133753090199E-2</v>
      </c>
      <c r="F53" s="16">
        <v>10</v>
      </c>
      <c r="G53" s="17" t="s">
        <v>254</v>
      </c>
      <c r="H53" s="18">
        <v>45967</v>
      </c>
      <c r="I53" s="16" t="s">
        <v>17</v>
      </c>
      <c r="J53" s="19">
        <v>7863001986</v>
      </c>
      <c r="K53" s="19">
        <v>311610298.42775202</v>
      </c>
      <c r="L53" s="15">
        <v>0.54489795918367301</v>
      </c>
      <c r="M53" s="19">
        <v>2420122741.79597</v>
      </c>
      <c r="N53" s="19">
        <v>146572596.50793201</v>
      </c>
      <c r="O53" s="20">
        <v>0.54897959183673395</v>
      </c>
      <c r="P53" t="str">
        <f>TEXT(H53,"MM/DD")&amp;" "&amp;I53&amp;" ["&amp;TEXT(C53,"0")&amp;"] (dis： "&amp;TEXT(D53,"0")&amp;"，"&amp;TEXT(E53,"0.00%")&amp;" ) (vol_wei_pr："&amp;TEXT(O53,"0.00%")&amp;")"</f>
        <v>11/06 max [28062] (dis： -310，-1.09% ) (vol_wei_pr：54.90%)</v>
      </c>
    </row>
    <row r="54" spans="1:16" ht="17.25" thickBot="1" x14ac:dyDescent="0.3">
      <c r="A54" s="41" t="s">
        <v>209</v>
      </c>
      <c r="B54" s="44" t="s">
        <v>210</v>
      </c>
      <c r="C54" s="49">
        <v>28041.01</v>
      </c>
      <c r="D54" s="53">
        <v>-330.97000000000099</v>
      </c>
      <c r="E54" s="27">
        <v>-1.16653825358681E-2</v>
      </c>
      <c r="F54" s="28">
        <v>10</v>
      </c>
      <c r="G54" s="29" t="s">
        <v>255</v>
      </c>
      <c r="H54" s="30">
        <v>45958</v>
      </c>
      <c r="I54" s="28" t="s">
        <v>22</v>
      </c>
      <c r="J54" s="31">
        <v>8579810711</v>
      </c>
      <c r="K54" s="31">
        <v>311610298.42775202</v>
      </c>
      <c r="L54" s="27">
        <v>0.54489795918367301</v>
      </c>
      <c r="M54" s="31">
        <v>2071887715.26335</v>
      </c>
      <c r="N54" s="31">
        <v>146572596.50793201</v>
      </c>
      <c r="O54" s="32">
        <v>0.54897959183673395</v>
      </c>
      <c r="P54" t="str">
        <f>TEXT(H54,"MM/DD")&amp;" "&amp;I54&amp;" ["&amp;TEXT(C54,"0")&amp;"] (dis： "&amp;TEXT(D54,"0")&amp;"，"&amp;TEXT(E54,"0.00%")&amp;" ) (vol_wei_pr："&amp;TEXT(O54,"0.00%")&amp;")"</f>
        <v>10/28 open [28041] (dis： -331，-1.17% ) (vol_wei_pr：54.90%)</v>
      </c>
    </row>
    <row r="55" spans="1:16" x14ac:dyDescent="0.25">
      <c r="A55" s="39" t="s">
        <v>209</v>
      </c>
      <c r="B55" s="44" t="s">
        <v>210</v>
      </c>
      <c r="C55" s="47">
        <v>28038.240000000002</v>
      </c>
      <c r="D55" s="51">
        <v>-333.739999999997</v>
      </c>
      <c r="E55" s="15">
        <v>-1.1763014072334601E-2</v>
      </c>
      <c r="F55" s="16">
        <v>11</v>
      </c>
      <c r="G55" s="17" t="s">
        <v>256</v>
      </c>
      <c r="H55" s="18">
        <v>45974</v>
      </c>
      <c r="I55" s="16" t="s">
        <v>17</v>
      </c>
      <c r="J55" s="19">
        <v>10545273898</v>
      </c>
      <c r="K55" s="19">
        <v>358182192.160914</v>
      </c>
      <c r="L55" s="15">
        <v>0.77142857142857102</v>
      </c>
      <c r="M55" s="19">
        <v>3859796168.47264</v>
      </c>
      <c r="N55" s="19">
        <v>163618907.36988699</v>
      </c>
      <c r="O55" s="20">
        <v>0.64897959183673404</v>
      </c>
      <c r="P55" t="str">
        <f>TEXT(H55,"MM/DD")&amp;" "&amp;I55&amp;" ["&amp;TEXT(C55,"0")&amp;"] (dis： "&amp;TEXT(D55,"0")&amp;"，"&amp;TEXT(E55,"0.00%")&amp;" ) (vol_wei_pr："&amp;TEXT(O55,"0.00%")&amp;")"</f>
        <v>11/13 max [28038] (dis： -334，-1.18% ) (vol_wei_pr：64.90%)</v>
      </c>
    </row>
    <row r="56" spans="1:16" x14ac:dyDescent="0.25">
      <c r="A56" s="43" t="s">
        <v>209</v>
      </c>
      <c r="B56" s="44" t="s">
        <v>210</v>
      </c>
      <c r="C56" s="61">
        <v>28034</v>
      </c>
      <c r="D56" s="57">
        <v>-337.979999999999</v>
      </c>
      <c r="E56" s="27">
        <v>-1.19124572906085E-2</v>
      </c>
      <c r="F56" s="28">
        <v>11</v>
      </c>
      <c r="G56" s="29" t="s">
        <v>257</v>
      </c>
      <c r="H56" s="30">
        <v>45999</v>
      </c>
      <c r="I56" s="28" t="s">
        <v>22</v>
      </c>
      <c r="J56" s="31">
        <v>7603908443</v>
      </c>
      <c r="K56" s="31">
        <v>358182192.160914</v>
      </c>
      <c r="L56" s="27">
        <v>0.77142857142857102</v>
      </c>
      <c r="M56" s="31">
        <v>5016708671.6656504</v>
      </c>
      <c r="N56" s="31">
        <v>163618907.36988699</v>
      </c>
      <c r="O56" s="32">
        <v>0.64897959183673404</v>
      </c>
      <c r="P56" t="str">
        <f>TEXT(H56,"MM/DD")&amp;" "&amp;I56&amp;" ["&amp;TEXT(C56,"0")&amp;"] (dis： "&amp;TEXT(D56,"0")&amp;"，"&amp;TEXT(E56,"0.00%")&amp;" ) (vol_wei_pr："&amp;TEXT(O56,"0.00%")&amp;")"</f>
        <v>12/08 open [28034] (dis： -338，-1.19% ) (vol_wei_pr：64.90%)</v>
      </c>
    </row>
    <row r="57" spans="1:16" ht="17.25" thickBot="1" x14ac:dyDescent="0.3">
      <c r="A57" s="41" t="s">
        <v>209</v>
      </c>
      <c r="B57" s="44" t="s">
        <v>210</v>
      </c>
      <c r="C57" s="48">
        <v>28033.62</v>
      </c>
      <c r="D57" s="52">
        <v>-338.36</v>
      </c>
      <c r="E57" s="21">
        <v>-1.1925850786585901E-2</v>
      </c>
      <c r="F57" s="22">
        <v>11</v>
      </c>
      <c r="G57" s="23" t="s">
        <v>258</v>
      </c>
      <c r="H57" s="24">
        <v>45965</v>
      </c>
      <c r="I57" s="22" t="s">
        <v>29</v>
      </c>
      <c r="J57" s="25">
        <v>8404740088</v>
      </c>
      <c r="K57" s="25">
        <v>358182192.160914</v>
      </c>
      <c r="L57" s="21">
        <v>0.77142857142857102</v>
      </c>
      <c r="M57" s="25">
        <v>2413627778.3158002</v>
      </c>
      <c r="N57" s="25">
        <v>163618907.36988699</v>
      </c>
      <c r="O57" s="26">
        <v>0.64897959183673404</v>
      </c>
      <c r="P57" t="str">
        <f>TEXT(H57,"MM/DD")&amp;" "&amp;I57&amp;" ["&amp;TEXT(C57,"0")&amp;"] (dis： "&amp;TEXT(D57,"0")&amp;"，"&amp;TEXT(E57,"0.00%")&amp;" ) (vol_wei_pr："&amp;TEXT(O57,"0.00%")&amp;")"</f>
        <v>11/04 min [28034] (dis： -338，-1.19% ) (vol_wei_pr：64.90%)</v>
      </c>
    </row>
    <row r="58" spans="1:16" x14ac:dyDescent="0.25">
      <c r="A58" t="s">
        <v>209</v>
      </c>
      <c r="B58" t="s">
        <v>210</v>
      </c>
      <c r="C58" s="49">
        <v>28031.54</v>
      </c>
      <c r="D58" s="53">
        <v>-340.43999999999801</v>
      </c>
      <c r="E58" s="27">
        <v>-1.1999162554040901E-2</v>
      </c>
      <c r="F58" s="28">
        <v>10</v>
      </c>
      <c r="G58" s="29" t="s">
        <v>259</v>
      </c>
      <c r="H58" s="30">
        <v>45972</v>
      </c>
      <c r="I58" s="28" t="s">
        <v>22</v>
      </c>
      <c r="J58" s="31">
        <v>8924063428</v>
      </c>
      <c r="K58" s="31">
        <v>342049943.77227002</v>
      </c>
      <c r="L58" s="27">
        <v>0.67755102040816295</v>
      </c>
      <c r="M58" s="31">
        <v>3047657474.1194</v>
      </c>
      <c r="N58" s="31">
        <v>158986135.57327801</v>
      </c>
      <c r="O58" s="32">
        <v>0.63265306122448906</v>
      </c>
      <c r="P58" t="str">
        <f>TEXT(H58,"MM/DD")&amp;" "&amp;I58&amp;" ["&amp;TEXT(C58,"0")&amp;"] (dis： "&amp;TEXT(D58,"0")&amp;"，"&amp;TEXT(E58,"0.00%")&amp;" ) (vol_wei_pr："&amp;TEXT(O58,"0.00%")&amp;")"</f>
        <v>11/11 open [28032] (dis： -340，-1.20% ) (vol_wei_pr：63.27%)</v>
      </c>
    </row>
    <row r="59" spans="1:16" x14ac:dyDescent="0.25">
      <c r="A59" t="s">
        <v>209</v>
      </c>
      <c r="B59" t="s">
        <v>210</v>
      </c>
      <c r="C59" s="64">
        <v>28029.88</v>
      </c>
      <c r="D59" s="59">
        <v>-342.09999999999798</v>
      </c>
      <c r="E59" s="27">
        <v>-1.20576709838368E-2</v>
      </c>
      <c r="F59" s="28">
        <v>10</v>
      </c>
      <c r="G59" s="29" t="s">
        <v>259</v>
      </c>
      <c r="H59" s="30">
        <v>45957</v>
      </c>
      <c r="I59" s="28" t="s">
        <v>22</v>
      </c>
      <c r="J59" s="31">
        <v>9337097751</v>
      </c>
      <c r="K59" s="31">
        <v>342049943.77227002</v>
      </c>
      <c r="L59" s="27">
        <v>0.67755102040816295</v>
      </c>
      <c r="M59" s="31">
        <v>2177955061.7217798</v>
      </c>
      <c r="N59" s="31">
        <v>158986135.57327801</v>
      </c>
      <c r="O59" s="32">
        <v>0.63265306122448906</v>
      </c>
      <c r="P59" t="str">
        <f>TEXT(H59,"MM/DD")&amp;" "&amp;I59&amp;" ["&amp;TEXT(C59,"0")&amp;"] (dis： "&amp;TEXT(D59,"0")&amp;"，"&amp;TEXT(E59,"0.00%")&amp;" ) (vol_wei_pr："&amp;TEXT(O59,"0.00%")&amp;")"</f>
        <v>10/27 open [28030] (dis： -342，-1.21% ) (vol_wei_pr：63.27%)</v>
      </c>
    </row>
    <row r="60" spans="1:16" ht="17.25" thickBot="1" x14ac:dyDescent="0.3">
      <c r="A60" t="s">
        <v>209</v>
      </c>
      <c r="B60" t="s">
        <v>210</v>
      </c>
      <c r="C60" s="63">
        <v>28026.39</v>
      </c>
      <c r="D60" s="58">
        <v>-345.59</v>
      </c>
      <c r="E60" s="21">
        <v>-1.2180679670576299E-2</v>
      </c>
      <c r="F60" s="22">
        <v>10</v>
      </c>
      <c r="G60" s="23" t="s">
        <v>260</v>
      </c>
      <c r="H60" s="24">
        <v>45999</v>
      </c>
      <c r="I60" s="22" t="s">
        <v>29</v>
      </c>
      <c r="J60" s="25">
        <v>7603908443</v>
      </c>
      <c r="K60" s="25">
        <v>342049943.77227002</v>
      </c>
      <c r="L60" s="21">
        <v>0.67755102040816295</v>
      </c>
      <c r="M60" s="25">
        <v>5016708671.6656504</v>
      </c>
      <c r="N60" s="25">
        <v>158986135.57327801</v>
      </c>
      <c r="O60" s="26">
        <v>0.63265306122448906</v>
      </c>
      <c r="P60" t="str">
        <f>TEXT(H60,"MM/DD")&amp;" "&amp;I60&amp;" ["&amp;TEXT(C60,"0")&amp;"] (dis： "&amp;TEXT(D60,"0")&amp;"，"&amp;TEXT(E60,"0.00%")&amp;" ) (vol_wei_pr："&amp;TEXT(O60,"0.00%")&amp;")"</f>
        <v>12/08 min [28026] (dis： -346，-1.22% ) (vol_wei_pr：63.27%)</v>
      </c>
    </row>
    <row r="61" spans="1:16" x14ac:dyDescent="0.25">
      <c r="A61" t="s">
        <v>209</v>
      </c>
      <c r="B61" t="s">
        <v>210</v>
      </c>
      <c r="C61" s="47">
        <v>28024.75</v>
      </c>
      <c r="D61" s="51">
        <v>-347.229999999999</v>
      </c>
      <c r="E61" s="15">
        <v>-1.2238483179531299E-2</v>
      </c>
      <c r="F61" s="16">
        <v>9</v>
      </c>
      <c r="G61" s="17" t="s">
        <v>261</v>
      </c>
      <c r="H61" s="18">
        <v>46002</v>
      </c>
      <c r="I61" s="16" t="s">
        <v>20</v>
      </c>
      <c r="J61" s="19">
        <v>8087246896</v>
      </c>
      <c r="K61" s="19">
        <v>314637605.75359601</v>
      </c>
      <c r="L61" s="15">
        <v>0.57755102040816297</v>
      </c>
      <c r="M61" s="19">
        <v>5920211250.0071297</v>
      </c>
      <c r="N61" s="19">
        <v>140900737.13906699</v>
      </c>
      <c r="O61" s="20">
        <v>0.495918367346938</v>
      </c>
      <c r="P61" t="str">
        <f>TEXT(H61,"MM/DD")&amp;" "&amp;I61&amp;" ["&amp;TEXT(C61,"0")&amp;"] (dis： "&amp;TEXT(D61,"0")&amp;"，"&amp;TEXT(E61,"0.00%")&amp;" ) (vol_wei_pr："&amp;TEXT(O61,"0.00%")&amp;")"</f>
        <v>12/11 close [28025] (dis： -347，-1.22% ) (vol_wei_pr：49.59%)</v>
      </c>
    </row>
    <row r="62" spans="1:16" x14ac:dyDescent="0.25">
      <c r="A62" t="s">
        <v>209</v>
      </c>
      <c r="B62" t="s">
        <v>210</v>
      </c>
      <c r="C62" s="61">
        <v>27999.394</v>
      </c>
      <c r="D62" s="57">
        <v>-372.58599999999899</v>
      </c>
      <c r="E62" s="27">
        <v>-1.3132181821642301E-2</v>
      </c>
      <c r="F62" s="28">
        <v>9</v>
      </c>
      <c r="G62" s="29" t="s">
        <v>262</v>
      </c>
      <c r="H62" s="30">
        <v>46015</v>
      </c>
      <c r="I62" s="60" t="s">
        <v>80</v>
      </c>
      <c r="J62" s="31">
        <v>7899870510</v>
      </c>
      <c r="K62" s="31">
        <v>314637605.75359601</v>
      </c>
      <c r="L62" s="27">
        <v>0.57755102040816297</v>
      </c>
      <c r="M62" s="31">
        <v>7899870510</v>
      </c>
      <c r="N62" s="31">
        <v>140900737.13906699</v>
      </c>
      <c r="O62" s="32">
        <v>0.495918367346938</v>
      </c>
      <c r="P62" t="str">
        <f>TEXT(H62,"MM/DD")&amp;" "&amp;I62&amp;" ["&amp;TEXT(C62,"0")&amp;"] (dis： "&amp;TEXT(D62,"0")&amp;"，"&amp;TEXT(E62,"0.00%")&amp;" ) (vol_wei_pr："&amp;TEXT(O62,"0.00%")&amp;")"</f>
        <v>12/24 5MA [27999] (dis： -373，-1.31% ) (vol_wei_pr：49.59%)</v>
      </c>
    </row>
    <row r="63" spans="1:16" x14ac:dyDescent="0.25">
      <c r="A63" t="s">
        <v>209</v>
      </c>
      <c r="B63" t="s">
        <v>210</v>
      </c>
      <c r="C63" s="64">
        <v>27993.63</v>
      </c>
      <c r="D63" s="59">
        <v>-378.34999999999798</v>
      </c>
      <c r="E63" s="27">
        <v>-1.3335340007993701E-2</v>
      </c>
      <c r="F63" s="28">
        <v>9</v>
      </c>
      <c r="G63" s="29" t="s">
        <v>261</v>
      </c>
      <c r="H63" s="30">
        <v>45957</v>
      </c>
      <c r="I63" s="28" t="s">
        <v>20</v>
      </c>
      <c r="J63" s="31">
        <v>9337097751</v>
      </c>
      <c r="K63" s="31">
        <v>314637605.75359601</v>
      </c>
      <c r="L63" s="27">
        <v>0.57755102040816297</v>
      </c>
      <c r="M63" s="31">
        <v>2177955061.7217798</v>
      </c>
      <c r="N63" s="31">
        <v>140900737.13906699</v>
      </c>
      <c r="O63" s="32">
        <v>0.495918367346938</v>
      </c>
      <c r="P63" t="str">
        <f>TEXT(H63,"MM/DD")&amp;" "&amp;I63&amp;" ["&amp;TEXT(C63,"0")&amp;"] (dis： "&amp;TEXT(D63,"0")&amp;"，"&amp;TEXT(E63,"0.00%")&amp;" ) (vol_wei_pr："&amp;TEXT(O63,"0.00%")&amp;")"</f>
        <v>10/27 close [27994] (dis： -378，-1.33% ) (vol_wei_pr：49.59%)</v>
      </c>
    </row>
    <row r="64" spans="1:16" ht="17.25" thickBot="1" x14ac:dyDescent="0.3">
      <c r="A64" t="s">
        <v>209</v>
      </c>
      <c r="B64" t="s">
        <v>210</v>
      </c>
      <c r="C64" s="48">
        <v>27993.63</v>
      </c>
      <c r="D64" s="52">
        <v>-378.34999999999798</v>
      </c>
      <c r="E64" s="21">
        <v>-1.3335340007993701E-2</v>
      </c>
      <c r="F64" s="22">
        <v>9</v>
      </c>
      <c r="G64" s="23" t="s">
        <v>263</v>
      </c>
      <c r="H64" s="24">
        <v>45957</v>
      </c>
      <c r="I64" s="22" t="s">
        <v>29</v>
      </c>
      <c r="J64" s="25">
        <v>9337097751</v>
      </c>
      <c r="K64" s="25">
        <v>314637605.75359601</v>
      </c>
      <c r="L64" s="21">
        <v>0.57755102040816297</v>
      </c>
      <c r="M64" s="25">
        <v>2177955061.7217798</v>
      </c>
      <c r="N64" s="25">
        <v>140900737.13906699</v>
      </c>
      <c r="O64" s="26">
        <v>0.495918367346938</v>
      </c>
      <c r="P64" t="str">
        <f>TEXT(H64,"MM/DD")&amp;" "&amp;I64&amp;" ["&amp;TEXT(C64,"0")&amp;"] (dis： "&amp;TEXT(D64,"0")&amp;"，"&amp;TEXT(E64,"0.00%")&amp;" ) (vol_wei_pr："&amp;TEXT(O64,"0.00%")&amp;")"</f>
        <v>10/27 min [27994] (dis： -378，-1.33% ) (vol_wei_pr：49.59%)</v>
      </c>
    </row>
    <row r="65" spans="1:16" x14ac:dyDescent="0.25">
      <c r="A65" t="s">
        <v>209</v>
      </c>
      <c r="B65" t="s">
        <v>210</v>
      </c>
      <c r="C65" s="47">
        <v>27986.66</v>
      </c>
      <c r="D65" s="51">
        <v>-385.31999999999903</v>
      </c>
      <c r="E65" s="15">
        <v>-1.3581004921052299E-2</v>
      </c>
      <c r="F65" s="16">
        <v>8</v>
      </c>
      <c r="G65" s="17" t="s">
        <v>264</v>
      </c>
      <c r="H65" s="18">
        <v>46013</v>
      </c>
      <c r="I65" s="16" t="s">
        <v>22</v>
      </c>
      <c r="J65" s="19">
        <v>8984157012</v>
      </c>
      <c r="K65" s="19">
        <v>268573976.00026602</v>
      </c>
      <c r="L65" s="15">
        <v>0.41836734693877498</v>
      </c>
      <c r="M65" s="19">
        <v>8382514893.3427401</v>
      </c>
      <c r="N65" s="19">
        <v>130156015.571619</v>
      </c>
      <c r="O65" s="20">
        <v>0.43469387755102001</v>
      </c>
      <c r="P65" t="str">
        <f>TEXT(H65,"MM/DD")&amp;" "&amp;I65&amp;" ["&amp;TEXT(C65,"0")&amp;"] (dis： "&amp;TEXT(D65,"0")&amp;"，"&amp;TEXT(E65,"0.00%")&amp;" ) (vol_wei_pr："&amp;TEXT(O65,"0.00%")&amp;")"</f>
        <v>12/22 open [27987] (dis： -385，-1.36% ) (vol_wei_pr：43.47%)</v>
      </c>
    </row>
    <row r="66" spans="1:16" ht="17.25" thickBot="1" x14ac:dyDescent="0.3">
      <c r="A66" t="s">
        <v>209</v>
      </c>
      <c r="B66" t="s">
        <v>210</v>
      </c>
      <c r="C66" s="48">
        <v>27986.66</v>
      </c>
      <c r="D66" s="52">
        <v>-385.31999999999903</v>
      </c>
      <c r="E66" s="21">
        <v>-1.3581004921052299E-2</v>
      </c>
      <c r="F66" s="22">
        <v>8</v>
      </c>
      <c r="G66" s="23" t="s">
        <v>265</v>
      </c>
      <c r="H66" s="24">
        <v>46013</v>
      </c>
      <c r="I66" s="22" t="s">
        <v>29</v>
      </c>
      <c r="J66" s="25">
        <v>8984157012</v>
      </c>
      <c r="K66" s="25">
        <v>268573976.00026602</v>
      </c>
      <c r="L66" s="21">
        <v>0.41836734693877498</v>
      </c>
      <c r="M66" s="25">
        <v>8382514893.3427401</v>
      </c>
      <c r="N66" s="25">
        <v>130156015.571619</v>
      </c>
      <c r="O66" s="26">
        <v>0.43469387755102001</v>
      </c>
      <c r="P66" t="str">
        <f>TEXT(H66,"MM/DD")&amp;" "&amp;I66&amp;" ["&amp;TEXT(C66,"0")&amp;"] (dis： "&amp;TEXT(D66,"0")&amp;"，"&amp;TEXT(E66,"0.00%")&amp;" ) (vol_wei_pr："&amp;TEXT(O66,"0.00%")&amp;")"</f>
        <v>12/22 min [27987] (dis： -385，-1.36% ) (vol_wei_pr：43.47%)</v>
      </c>
    </row>
    <row r="67" spans="1:16" ht="17.25" thickBot="1" x14ac:dyDescent="0.3">
      <c r="A67" t="s">
        <v>209</v>
      </c>
      <c r="B67" t="s">
        <v>210</v>
      </c>
      <c r="C67" s="53">
        <v>27984.19</v>
      </c>
      <c r="D67" s="46">
        <v>-387.79</v>
      </c>
      <c r="E67" s="4">
        <v>-1.3668062644905299E-2</v>
      </c>
      <c r="F67" s="6">
        <v>7</v>
      </c>
      <c r="G67" s="10" t="s">
        <v>266</v>
      </c>
      <c r="H67" s="11">
        <v>46002</v>
      </c>
      <c r="I67" s="6" t="s">
        <v>29</v>
      </c>
      <c r="J67" s="8">
        <v>8087246896</v>
      </c>
      <c r="K67" s="8">
        <v>219234874.39117199</v>
      </c>
      <c r="L67" s="4">
        <v>0.33469387755101998</v>
      </c>
      <c r="M67" s="8">
        <v>5920211250.0071297</v>
      </c>
      <c r="N67" s="8">
        <v>84121005.997547299</v>
      </c>
      <c r="O67" s="27">
        <v>0.32653061224489699</v>
      </c>
      <c r="P67" t="str">
        <f>TEXT(H67,"MM/DD")&amp;" "&amp;I67&amp;" ["&amp;TEXT(C67,"0")&amp;"] (dis： "&amp;TEXT(D67,"0")&amp;"，"&amp;TEXT(E67,"0.00%")&amp;" ) (vol_wei_pr："&amp;TEXT(O67,"0.00%")&amp;")"</f>
        <v>12/11 min [27984] (dis： -388，-1.37% ) (vol_wei_pr：32.65%)</v>
      </c>
    </row>
    <row r="68" spans="1:16" x14ac:dyDescent="0.25">
      <c r="A68" s="39" t="s">
        <v>209</v>
      </c>
      <c r="B68" s="40" t="s">
        <v>210</v>
      </c>
      <c r="C68" s="51">
        <v>27980.89</v>
      </c>
      <c r="D68" s="51">
        <v>-391.09</v>
      </c>
      <c r="E68" s="15">
        <v>-1.3784374583656099E-2</v>
      </c>
      <c r="F68" s="16">
        <v>7</v>
      </c>
      <c r="G68" s="17" t="s">
        <v>267</v>
      </c>
      <c r="H68" s="18">
        <v>45996</v>
      </c>
      <c r="I68" s="16" t="s">
        <v>20</v>
      </c>
      <c r="J68" s="19">
        <v>6781520261</v>
      </c>
      <c r="K68" s="19">
        <v>233360539.53721699</v>
      </c>
      <c r="L68" s="15">
        <v>0.344897959183673</v>
      </c>
      <c r="M68" s="19">
        <v>4321729359.0192204</v>
      </c>
      <c r="N68" s="19">
        <v>91810358.211410597</v>
      </c>
      <c r="O68" s="20">
        <v>0.33673469387755101</v>
      </c>
      <c r="P68" t="str">
        <f>TEXT(H68,"MM/DD")&amp;" "&amp;I68&amp;" ["&amp;TEXT(C68,"0")&amp;"] (dis： "&amp;TEXT(D68,"0")&amp;"，"&amp;TEXT(E68,"0.00%")&amp;" ) (vol_wei_pr："&amp;TEXT(O68,"0.00%")&amp;")"</f>
        <v>12/05 close [27981] (dis： -391，-1.38% ) (vol_wei_pr：33.67%)</v>
      </c>
    </row>
    <row r="69" spans="1:16" ht="17.25" thickBot="1" x14ac:dyDescent="0.3">
      <c r="A69" s="41" t="s">
        <v>209</v>
      </c>
      <c r="B69" s="42" t="s">
        <v>210</v>
      </c>
      <c r="C69" s="52">
        <v>27980.89</v>
      </c>
      <c r="D69" s="52">
        <v>-391.09</v>
      </c>
      <c r="E69" s="21">
        <v>-1.3784374583656099E-2</v>
      </c>
      <c r="F69" s="22">
        <v>7</v>
      </c>
      <c r="G69" s="23" t="s">
        <v>268</v>
      </c>
      <c r="H69" s="24">
        <v>45996</v>
      </c>
      <c r="I69" s="22" t="s">
        <v>17</v>
      </c>
      <c r="J69" s="25">
        <v>6781520261</v>
      </c>
      <c r="K69" s="25">
        <v>233360539.53721699</v>
      </c>
      <c r="L69" s="21">
        <v>0.344897959183673</v>
      </c>
      <c r="M69" s="25">
        <v>4321729359.0192204</v>
      </c>
      <c r="N69" s="25">
        <v>91810358.211410597</v>
      </c>
      <c r="O69" s="26">
        <v>0.33673469387755101</v>
      </c>
      <c r="P69" t="str">
        <f>TEXT(H69,"MM/DD")&amp;" "&amp;I69&amp;" ["&amp;TEXT(C69,"0")&amp;"] (dis： "&amp;TEXT(D69,"0")&amp;"，"&amp;TEXT(E69,"0.00%")&amp;" ) (vol_wei_pr："&amp;TEXT(O69,"0.00%")&amp;")"</f>
        <v>12/05 max [27981] (dis： -391，-1.38% ) (vol_wei_pr：33.67%)</v>
      </c>
    </row>
    <row r="70" spans="1:16" ht="17.25" thickBot="1" x14ac:dyDescent="0.3">
      <c r="A70" s="44" t="s">
        <v>209</v>
      </c>
      <c r="B70" t="s">
        <v>210</v>
      </c>
      <c r="C70" s="46">
        <v>27976.89</v>
      </c>
      <c r="D70" s="46">
        <v>-395.09</v>
      </c>
      <c r="E70" s="4">
        <v>-1.3925358751838901E-2</v>
      </c>
      <c r="F70" s="6">
        <v>8</v>
      </c>
      <c r="G70" s="10" t="s">
        <v>269</v>
      </c>
      <c r="H70" s="11">
        <v>45971</v>
      </c>
      <c r="I70" s="6" t="s">
        <v>17</v>
      </c>
      <c r="J70" s="8">
        <v>7491028505</v>
      </c>
      <c r="K70" s="8">
        <v>258635620.53121099</v>
      </c>
      <c r="L70" s="4">
        <v>0.40816326530612201</v>
      </c>
      <c r="M70" s="8">
        <v>2471117843.04318</v>
      </c>
      <c r="N70" s="8">
        <v>100148025.54065999</v>
      </c>
      <c r="O70" s="27">
        <v>0.34693877551020402</v>
      </c>
      <c r="P70" t="str">
        <f>TEXT(H70,"MM/DD")&amp;" "&amp;I70&amp;" ["&amp;TEXT(C70,"0")&amp;"] (dis： "&amp;TEXT(D70,"0")&amp;"，"&amp;TEXT(E70,"0.00%")&amp;" ) (vol_wei_pr："&amp;TEXT(O70,"0.00%")&amp;")"</f>
        <v>11/10 max [27977] (dis： -395，-1.39% ) (vol_wei_pr：34.69%)</v>
      </c>
    </row>
    <row r="71" spans="1:16" x14ac:dyDescent="0.25">
      <c r="A71" s="44" t="s">
        <v>209</v>
      </c>
      <c r="B71" t="s">
        <v>210</v>
      </c>
      <c r="C71" s="47">
        <v>27969.05</v>
      </c>
      <c r="D71" s="51">
        <v>-402.93</v>
      </c>
      <c r="E71" s="15">
        <v>-1.4201687721477301E-2</v>
      </c>
      <c r="F71" s="16">
        <v>9</v>
      </c>
      <c r="G71" s="17" t="s">
        <v>270</v>
      </c>
      <c r="H71" s="18">
        <v>45951</v>
      </c>
      <c r="I71" s="16" t="s">
        <v>17</v>
      </c>
      <c r="J71" s="19">
        <v>8507303277</v>
      </c>
      <c r="K71" s="19">
        <v>296195458.39876002</v>
      </c>
      <c r="L71" s="15">
        <v>0.49183673469387701</v>
      </c>
      <c r="M71" s="19">
        <v>1788440207.27636</v>
      </c>
      <c r="N71" s="19">
        <v>108044008.795744</v>
      </c>
      <c r="O71" s="20">
        <v>0.37346938775510202</v>
      </c>
      <c r="P71" t="str">
        <f>TEXT(H71,"MM/DD")&amp;" "&amp;I71&amp;" ["&amp;TEXT(C71,"0")&amp;"] (dis： "&amp;TEXT(D71,"0")&amp;"，"&amp;TEXT(E71,"0.00%")&amp;" ) (vol_wei_pr："&amp;TEXT(O71,"0.00%")&amp;")"</f>
        <v>10/21 max [27969] (dis： -403，-1.42% ) (vol_wei_pr：37.35%)</v>
      </c>
    </row>
    <row r="72" spans="1:16" x14ac:dyDescent="0.25">
      <c r="A72" s="44" t="s">
        <v>209</v>
      </c>
      <c r="B72" s="44" t="s">
        <v>210</v>
      </c>
      <c r="C72" s="49">
        <v>27949.11</v>
      </c>
      <c r="D72" s="53">
        <v>-422.86999999999898</v>
      </c>
      <c r="E72" s="27">
        <v>-1.49044937998687E-2</v>
      </c>
      <c r="F72" s="28">
        <v>9</v>
      </c>
      <c r="G72" s="29" t="s">
        <v>271</v>
      </c>
      <c r="H72" s="30">
        <v>45958</v>
      </c>
      <c r="I72" s="28" t="s">
        <v>20</v>
      </c>
      <c r="J72" s="31">
        <v>8579810711</v>
      </c>
      <c r="K72" s="31">
        <v>296195458.39876002</v>
      </c>
      <c r="L72" s="27">
        <v>0.49183673469387701</v>
      </c>
      <c r="M72" s="31">
        <v>2071887715.26335</v>
      </c>
      <c r="N72" s="31">
        <v>108044008.795744</v>
      </c>
      <c r="O72" s="32">
        <v>0.37346938775510202</v>
      </c>
      <c r="P72" t="str">
        <f>TEXT(H72,"MM/DD")&amp;" "&amp;I72&amp;" ["&amp;TEXT(C72,"0")&amp;"] (dis： "&amp;TEXT(D72,"0")&amp;"，"&amp;TEXT(E72,"0.00%")&amp;" ) (vol_wei_pr："&amp;TEXT(O72,"0.00%")&amp;")"</f>
        <v>10/28 close [27949] (dis： -423，-1.49% ) (vol_wei_pr：37.35%)</v>
      </c>
    </row>
    <row r="73" spans="1:16" x14ac:dyDescent="0.25">
      <c r="A73" t="s">
        <v>209</v>
      </c>
      <c r="B73" t="s">
        <v>210</v>
      </c>
      <c r="C73" s="49">
        <v>27947.09</v>
      </c>
      <c r="D73" s="53">
        <v>-424.88999999999902</v>
      </c>
      <c r="E73" s="27">
        <v>-1.4975690804801E-2</v>
      </c>
      <c r="F73" s="28">
        <v>9</v>
      </c>
      <c r="G73" s="29" t="s">
        <v>271</v>
      </c>
      <c r="H73" s="30">
        <v>45973</v>
      </c>
      <c r="I73" s="28" t="s">
        <v>20</v>
      </c>
      <c r="J73" s="31">
        <v>8954069218</v>
      </c>
      <c r="K73" s="31">
        <v>296195458.39876002</v>
      </c>
      <c r="L73" s="27">
        <v>0.49183673469387701</v>
      </c>
      <c r="M73" s="31">
        <v>3165741531.6307602</v>
      </c>
      <c r="N73" s="31">
        <v>108044008.795744</v>
      </c>
      <c r="O73" s="32">
        <v>0.37346938775510202</v>
      </c>
      <c r="P73" t="str">
        <f>TEXT(H73,"MM/DD")&amp;" "&amp;I73&amp;" ["&amp;TEXT(C73,"0")&amp;"] (dis： "&amp;TEXT(D73,"0")&amp;"，"&amp;TEXT(E73,"0.00%")&amp;" ) (vol_wei_pr："&amp;TEXT(O73,"0.00%")&amp;")"</f>
        <v>11/12 close [27947] (dis： -425，-1.50% ) (vol_wei_pr：37.35%)</v>
      </c>
    </row>
    <row r="74" spans="1:16" x14ac:dyDescent="0.25">
      <c r="A74" t="s">
        <v>209</v>
      </c>
      <c r="B74" t="s">
        <v>210</v>
      </c>
      <c r="C74" s="61">
        <v>27914.850999999999</v>
      </c>
      <c r="D74" s="57">
        <v>-457.12899999999701</v>
      </c>
      <c r="E74" s="27">
        <v>-1.6111987954312498E-2</v>
      </c>
      <c r="F74" s="28">
        <v>9</v>
      </c>
      <c r="G74" s="29" t="s">
        <v>272</v>
      </c>
      <c r="H74" s="30">
        <v>46015</v>
      </c>
      <c r="I74" s="60" t="s">
        <v>89</v>
      </c>
      <c r="J74" s="31">
        <v>7899870510</v>
      </c>
      <c r="K74" s="31">
        <v>296195458.39876002</v>
      </c>
      <c r="L74" s="27">
        <v>0.49183673469387701</v>
      </c>
      <c r="M74" s="31">
        <v>7899870510</v>
      </c>
      <c r="N74" s="31">
        <v>108044008.795744</v>
      </c>
      <c r="O74" s="32">
        <v>0.37346938775510202</v>
      </c>
      <c r="P74" t="str">
        <f>TEXT(H74,"MM/DD")&amp;" "&amp;I74&amp;" ["&amp;TEXT(C74,"0")&amp;"] (dis： "&amp;TEXT(D74,"0")&amp;"，"&amp;TEXT(E74,"0.00%")&amp;" ) (vol_wei_pr："&amp;TEXT(O74,"0.00%")&amp;")"</f>
        <v>12/24 10MA [27915] (dis： -457，-1.61% ) (vol_wei_pr：37.35%)</v>
      </c>
    </row>
    <row r="75" spans="1:16" x14ac:dyDescent="0.25">
      <c r="A75" t="s">
        <v>209</v>
      </c>
      <c r="B75" t="s">
        <v>210</v>
      </c>
      <c r="C75" s="49">
        <v>27906.44</v>
      </c>
      <c r="D75" s="53">
        <v>-465.54</v>
      </c>
      <c r="E75" s="27">
        <v>-1.6408442413959098E-2</v>
      </c>
      <c r="F75" s="28">
        <v>9</v>
      </c>
      <c r="G75" s="29" t="s">
        <v>273</v>
      </c>
      <c r="H75" s="30">
        <v>45967</v>
      </c>
      <c r="I75" s="28" t="s">
        <v>22</v>
      </c>
      <c r="J75" s="31">
        <v>7863001986</v>
      </c>
      <c r="K75" s="31">
        <v>296195458.39876002</v>
      </c>
      <c r="L75" s="27">
        <v>0.49183673469387701</v>
      </c>
      <c r="M75" s="31">
        <v>2420122741.79597</v>
      </c>
      <c r="N75" s="31">
        <v>108044008.795744</v>
      </c>
      <c r="O75" s="32">
        <v>0.37346938775510202</v>
      </c>
      <c r="P75" t="str">
        <f>TEXT(H75,"MM/DD")&amp;" "&amp;I75&amp;" ["&amp;TEXT(C75,"0")&amp;"] (dis： "&amp;TEXT(D75,"0")&amp;"，"&amp;TEXT(E75,"0.00%")&amp;" ) (vol_wei_pr："&amp;TEXT(O75,"0.00%")&amp;")"</f>
        <v>11/06 open [27906] (dis： -466，-1.64% ) (vol_wei_pr：37.35%)</v>
      </c>
    </row>
    <row r="76" spans="1:16" x14ac:dyDescent="0.25">
      <c r="A76" t="s">
        <v>209</v>
      </c>
      <c r="B76" t="s">
        <v>210</v>
      </c>
      <c r="C76" s="49">
        <v>27903.56</v>
      </c>
      <c r="D76" s="53">
        <v>-468.41999999999803</v>
      </c>
      <c r="E76" s="27">
        <v>-1.6509951015050699E-2</v>
      </c>
      <c r="F76" s="28">
        <v>9</v>
      </c>
      <c r="G76" s="29" t="s">
        <v>271</v>
      </c>
      <c r="H76" s="30">
        <v>45974</v>
      </c>
      <c r="I76" s="28" t="s">
        <v>20</v>
      </c>
      <c r="J76" s="31">
        <v>10545273898</v>
      </c>
      <c r="K76" s="31">
        <v>296195458.39876002</v>
      </c>
      <c r="L76" s="27">
        <v>0.49183673469387701</v>
      </c>
      <c r="M76" s="31">
        <v>3859796168.47264</v>
      </c>
      <c r="N76" s="31">
        <v>108044008.795744</v>
      </c>
      <c r="O76" s="32">
        <v>0.37346938775510202</v>
      </c>
      <c r="P76" t="str">
        <f>TEXT(H76,"MM/DD")&amp;" "&amp;I76&amp;" ["&amp;TEXT(C76,"0")&amp;"] (dis： "&amp;TEXT(D76,"0")&amp;"，"&amp;TEXT(E76,"0.00%")&amp;" ) (vol_wei_pr："&amp;TEXT(O76,"0.00%")&amp;")"</f>
        <v>11/13 close [27904] (dis： -468，-1.65% ) (vol_wei_pr：37.35%)</v>
      </c>
    </row>
    <row r="77" spans="1:16" x14ac:dyDescent="0.25">
      <c r="A77" t="s">
        <v>209</v>
      </c>
      <c r="B77" t="s">
        <v>210</v>
      </c>
      <c r="C77" s="49">
        <v>27899.45</v>
      </c>
      <c r="D77" s="53">
        <v>-472.52999999999798</v>
      </c>
      <c r="E77" s="27">
        <v>-1.6654812247858499E-2</v>
      </c>
      <c r="F77" s="28">
        <v>9</v>
      </c>
      <c r="G77" s="29" t="s">
        <v>271</v>
      </c>
      <c r="H77" s="30">
        <v>45967</v>
      </c>
      <c r="I77" s="28" t="s">
        <v>20</v>
      </c>
      <c r="J77" s="31">
        <v>7863001986</v>
      </c>
      <c r="K77" s="31">
        <v>296195458.39876002</v>
      </c>
      <c r="L77" s="27">
        <v>0.49183673469387701</v>
      </c>
      <c r="M77" s="31">
        <v>2420122741.79597</v>
      </c>
      <c r="N77" s="31">
        <v>108044008.795744</v>
      </c>
      <c r="O77" s="32">
        <v>0.37346938775510202</v>
      </c>
      <c r="P77" t="str">
        <f>TEXT(H77,"MM/DD")&amp;" "&amp;I77&amp;" ["&amp;TEXT(C77,"0")&amp;"] (dis： "&amp;TEXT(D77,"0")&amp;"，"&amp;TEXT(E77,"0.00%")&amp;" ) (vol_wei_pr："&amp;TEXT(O77,"0.00%")&amp;")"</f>
        <v>11/06 close [27899] (dis： -473，-1.67% ) (vol_wei_pr：37.35%)</v>
      </c>
    </row>
    <row r="78" spans="1:16" ht="17.25" thickBot="1" x14ac:dyDescent="0.3">
      <c r="A78" t="s">
        <v>209</v>
      </c>
      <c r="B78" t="s">
        <v>210</v>
      </c>
      <c r="C78" s="48">
        <v>27885.62</v>
      </c>
      <c r="D78" s="52">
        <v>-486.36</v>
      </c>
      <c r="E78" s="21">
        <v>-1.7142265009350701E-2</v>
      </c>
      <c r="F78" s="22">
        <v>9</v>
      </c>
      <c r="G78" s="23" t="s">
        <v>274</v>
      </c>
      <c r="H78" s="24">
        <v>45958</v>
      </c>
      <c r="I78" s="22" t="s">
        <v>29</v>
      </c>
      <c r="J78" s="25">
        <v>8579810711</v>
      </c>
      <c r="K78" s="25">
        <v>296195458.39876002</v>
      </c>
      <c r="L78" s="21">
        <v>0.49183673469387701</v>
      </c>
      <c r="M78" s="25">
        <v>2071887715.26335</v>
      </c>
      <c r="N78" s="25">
        <v>108044008.795744</v>
      </c>
      <c r="O78" s="26">
        <v>0.37346938775510202</v>
      </c>
      <c r="P78" t="str">
        <f>TEXT(H78,"MM/DD")&amp;" "&amp;I78&amp;" ["&amp;TEXT(C78,"0")&amp;"] (dis： "&amp;TEXT(D78,"0")&amp;"，"&amp;TEXT(E78,"0.00%")&amp;" ) (vol_wei_pr："&amp;TEXT(O78,"0.00%")&amp;")"</f>
        <v>10/28 min [27886] (dis： -486，-1.71% ) (vol_wei_pr：37.35%)</v>
      </c>
    </row>
    <row r="79" spans="1:16" ht="17.25" thickBot="1" x14ac:dyDescent="0.3">
      <c r="A79" t="s">
        <v>209</v>
      </c>
      <c r="B79" t="s">
        <v>210</v>
      </c>
      <c r="C79" s="57">
        <v>27884.653499999898</v>
      </c>
      <c r="D79" s="57">
        <v>-487.326500000002</v>
      </c>
      <c r="E79" s="27">
        <v>-1.7176330308987998E-2</v>
      </c>
      <c r="F79" s="28">
        <v>8</v>
      </c>
      <c r="G79" s="29" t="s">
        <v>275</v>
      </c>
      <c r="H79" s="30">
        <v>46015</v>
      </c>
      <c r="I79" s="67" t="s">
        <v>96</v>
      </c>
      <c r="J79" s="31">
        <v>7899870510</v>
      </c>
      <c r="K79" s="31">
        <v>253786231.415418</v>
      </c>
      <c r="L79" s="27">
        <v>0.36734693877551</v>
      </c>
      <c r="M79" s="31">
        <v>7899870510</v>
      </c>
      <c r="N79" s="31">
        <v>97802855.539536595</v>
      </c>
      <c r="O79" s="27">
        <v>0.34285714285714203</v>
      </c>
      <c r="P79" t="str">
        <f>TEXT(H79,"MM/DD")&amp;" "&amp;I79&amp;" ["&amp;TEXT(C79,"0")&amp;"] (dis： "&amp;TEXT(D79,"0")&amp;"，"&amp;TEXT(E79,"0.00%")&amp;" ) (vol_wei_pr："&amp;TEXT(O79,"0.00%")&amp;")"</f>
        <v>12/24 20MA [27885] (dis： -487，-1.72% ) (vol_wei_pr：34.29%)</v>
      </c>
    </row>
    <row r="80" spans="1:16" x14ac:dyDescent="0.25">
      <c r="A80" t="s">
        <v>209</v>
      </c>
      <c r="B80" t="s">
        <v>210</v>
      </c>
      <c r="C80" s="47">
        <v>27880.23</v>
      </c>
      <c r="D80" s="51">
        <v>-491.75</v>
      </c>
      <c r="E80" s="15">
        <v>-1.7332241175977099E-2</v>
      </c>
      <c r="F80" s="16">
        <v>9</v>
      </c>
      <c r="G80" s="17" t="s">
        <v>276</v>
      </c>
      <c r="H80" s="18">
        <v>45995</v>
      </c>
      <c r="I80" s="16" t="s">
        <v>17</v>
      </c>
      <c r="J80" s="19">
        <v>6475222009</v>
      </c>
      <c r="K80" s="19">
        <v>280367602.55252802</v>
      </c>
      <c r="L80" s="15">
        <v>0.43877551020408101</v>
      </c>
      <c r="M80" s="19">
        <v>3985966700.7741899</v>
      </c>
      <c r="N80" s="19">
        <v>114165608.82678699</v>
      </c>
      <c r="O80" s="20">
        <v>0.40204081632652999</v>
      </c>
      <c r="P80" t="str">
        <f>TEXT(H80,"MM/DD")&amp;" "&amp;I80&amp;" ["&amp;TEXT(C80,"0")&amp;"] (dis： "&amp;TEXT(D80,"0")&amp;"，"&amp;TEXT(E80,"0.00%")&amp;" ) (vol_wei_pr："&amp;TEXT(O80,"0.00%")&amp;")"</f>
        <v>12/04 max [27880] (dis： -492，-1.73% ) (vol_wei_pr：40.20%)</v>
      </c>
    </row>
    <row r="81" spans="1:16" ht="17.25" thickBot="1" x14ac:dyDescent="0.3">
      <c r="A81" s="44" t="s">
        <v>209</v>
      </c>
      <c r="B81" s="44" t="s">
        <v>210</v>
      </c>
      <c r="C81" s="49">
        <v>27879.7</v>
      </c>
      <c r="D81" s="53">
        <v>-492.27999999999798</v>
      </c>
      <c r="E81" s="27">
        <v>-1.7350921578261298E-2</v>
      </c>
      <c r="F81" s="28">
        <v>9</v>
      </c>
      <c r="G81" s="29" t="s">
        <v>277</v>
      </c>
      <c r="H81" s="30">
        <v>45967</v>
      </c>
      <c r="I81" s="28" t="s">
        <v>29</v>
      </c>
      <c r="J81" s="31">
        <v>7863001986</v>
      </c>
      <c r="K81" s="31">
        <v>280367602.55252802</v>
      </c>
      <c r="L81" s="27">
        <v>0.43877551020408101</v>
      </c>
      <c r="M81" s="31">
        <v>2420122741.79597</v>
      </c>
      <c r="N81" s="31">
        <v>114165608.82678699</v>
      </c>
      <c r="O81" s="32">
        <v>0.40204081632652999</v>
      </c>
      <c r="P81" t="str">
        <f>TEXT(H81,"MM/DD")&amp;" "&amp;I81&amp;" ["&amp;TEXT(C81,"0")&amp;"] (dis： "&amp;TEXT(D81,"0")&amp;"，"&amp;TEXT(E81,"0.00%")&amp;" ) (vol_wei_pr："&amp;TEXT(O81,"0.00%")&amp;")"</f>
        <v>11/06 min [27880] (dis： -492，-1.74% ) (vol_wei_pr：40.20%)</v>
      </c>
    </row>
    <row r="82" spans="1:16" x14ac:dyDescent="0.25">
      <c r="A82" s="39" t="s">
        <v>209</v>
      </c>
      <c r="B82" s="40" t="s">
        <v>210</v>
      </c>
      <c r="C82" s="54">
        <v>27869.78</v>
      </c>
      <c r="D82" s="54">
        <v>-502.2</v>
      </c>
      <c r="E82" s="15">
        <v>-1.7700562315354801E-2</v>
      </c>
      <c r="F82" s="16">
        <v>9</v>
      </c>
      <c r="G82" s="17" t="s">
        <v>278</v>
      </c>
      <c r="H82" s="18">
        <v>46010</v>
      </c>
      <c r="I82" s="16" t="s">
        <v>17</v>
      </c>
      <c r="J82" s="19">
        <v>9145168124</v>
      </c>
      <c r="K82" s="19">
        <v>283374689.52308601</v>
      </c>
      <c r="L82" s="15">
        <v>0.45306122448979502</v>
      </c>
      <c r="M82" s="19">
        <v>8242087002.4088097</v>
      </c>
      <c r="N82" s="19">
        <v>142539342.11223301</v>
      </c>
      <c r="O82" s="20">
        <v>0.51428571428571401</v>
      </c>
      <c r="P82" t="str">
        <f>TEXT(H82,"MM/DD")&amp;" "&amp;I82&amp;" ["&amp;TEXT(C82,"0")&amp;"] (dis： "&amp;TEXT(D82,"0")&amp;"，"&amp;TEXT(E82,"0.00%")&amp;" ) (vol_wei_pr："&amp;TEXT(O82,"0.00%")&amp;")"</f>
        <v>12/19 max [27870] (dis： -502，-1.77% ) (vol_wei_pr：51.43%)</v>
      </c>
    </row>
    <row r="83" spans="1:16" x14ac:dyDescent="0.25">
      <c r="A83" s="43" t="s">
        <v>209</v>
      </c>
      <c r="B83" s="44" t="s">
        <v>210</v>
      </c>
      <c r="C83" s="53">
        <v>27869.51</v>
      </c>
      <c r="D83" s="53">
        <v>-502.47000000000099</v>
      </c>
      <c r="E83" s="27">
        <v>-1.77100787467071E-2</v>
      </c>
      <c r="F83" s="28">
        <v>9</v>
      </c>
      <c r="G83" s="29" t="s">
        <v>279</v>
      </c>
      <c r="H83" s="30">
        <v>45971</v>
      </c>
      <c r="I83" s="28" t="s">
        <v>20</v>
      </c>
      <c r="J83" s="31">
        <v>7491028505</v>
      </c>
      <c r="K83" s="31">
        <v>283374689.52308601</v>
      </c>
      <c r="L83" s="27">
        <v>0.45306122448979502</v>
      </c>
      <c r="M83" s="31">
        <v>2471117843.04318</v>
      </c>
      <c r="N83" s="31">
        <v>142539342.11223301</v>
      </c>
      <c r="O83" s="32">
        <v>0.51428571428571401</v>
      </c>
      <c r="P83" t="str">
        <f>TEXT(H83,"MM/DD")&amp;" "&amp;I83&amp;" ["&amp;TEXT(C83,"0")&amp;"] (dis： "&amp;TEXT(D83,"0")&amp;"，"&amp;TEXT(E83,"0.00%")&amp;" ) (vol_wei_pr："&amp;TEXT(O83,"0.00%")&amp;")"</f>
        <v>11/10 close [27870] (dis： -502，-1.77% ) (vol_wei_pr：51.43%)</v>
      </c>
    </row>
    <row r="84" spans="1:16" x14ac:dyDescent="0.25">
      <c r="A84" s="43" t="s">
        <v>209</v>
      </c>
      <c r="B84" s="44" t="s">
        <v>210</v>
      </c>
      <c r="C84" s="53">
        <v>27867.59</v>
      </c>
      <c r="D84" s="53">
        <v>-504.38999999999902</v>
      </c>
      <c r="E84" s="27">
        <v>-1.7777751147434798E-2</v>
      </c>
      <c r="F84" s="28">
        <v>9</v>
      </c>
      <c r="G84" s="29" t="s">
        <v>280</v>
      </c>
      <c r="H84" s="30">
        <v>45974</v>
      </c>
      <c r="I84" s="28" t="s">
        <v>22</v>
      </c>
      <c r="J84" s="31">
        <v>10545273898</v>
      </c>
      <c r="K84" s="31">
        <v>283374689.52308601</v>
      </c>
      <c r="L84" s="27">
        <v>0.45306122448979502</v>
      </c>
      <c r="M84" s="31">
        <v>3859796168.47264</v>
      </c>
      <c r="N84" s="31">
        <v>142539342.11223301</v>
      </c>
      <c r="O84" s="32">
        <v>0.51428571428571401</v>
      </c>
      <c r="P84" t="str">
        <f>TEXT(H84,"MM/DD")&amp;" "&amp;I84&amp;" ["&amp;TEXT(C84,"0")&amp;"] (dis： "&amp;TEXT(D84,"0")&amp;"，"&amp;TEXT(E84,"0.00%")&amp;" ) (vol_wei_pr："&amp;TEXT(O84,"0.00%")&amp;")"</f>
        <v>11/13 open [27868] (dis： -504，-1.78% ) (vol_wei_pr：51.43%)</v>
      </c>
    </row>
    <row r="85" spans="1:16" x14ac:dyDescent="0.25">
      <c r="A85" s="43" t="s">
        <v>209</v>
      </c>
      <c r="B85" s="44" t="s">
        <v>210</v>
      </c>
      <c r="C85" s="53">
        <v>27866.94</v>
      </c>
      <c r="D85" s="53">
        <v>-505.04</v>
      </c>
      <c r="E85" s="27">
        <v>-1.78006610747646E-2</v>
      </c>
      <c r="F85" s="28">
        <v>9</v>
      </c>
      <c r="G85" s="29" t="s">
        <v>279</v>
      </c>
      <c r="H85" s="30">
        <v>46006</v>
      </c>
      <c r="I85" s="28" t="s">
        <v>20</v>
      </c>
      <c r="J85" s="31">
        <v>7855274707</v>
      </c>
      <c r="K85" s="31">
        <v>283374689.52308601</v>
      </c>
      <c r="L85" s="27">
        <v>0.45306122448979502</v>
      </c>
      <c r="M85" s="31">
        <v>6163123619.7227497</v>
      </c>
      <c r="N85" s="31">
        <v>142539342.11223301</v>
      </c>
      <c r="O85" s="32">
        <v>0.51428571428571401</v>
      </c>
      <c r="P85" t="str">
        <f>TEXT(H85,"MM/DD")&amp;" "&amp;I85&amp;" ["&amp;TEXT(C85,"0")&amp;"] (dis： "&amp;TEXT(D85,"0")&amp;"，"&amp;TEXT(E85,"0.00%")&amp;" ) (vol_wei_pr："&amp;TEXT(O85,"0.00%")&amp;")"</f>
        <v>12/15 close [27867] (dis： -505，-1.78% ) (vol_wei_pr：51.43%)</v>
      </c>
    </row>
    <row r="86" spans="1:16" ht="17.25" thickBot="1" x14ac:dyDescent="0.3">
      <c r="A86" s="41" t="s">
        <v>209</v>
      </c>
      <c r="B86" s="42" t="s">
        <v>210</v>
      </c>
      <c r="C86" s="52">
        <v>27853.47</v>
      </c>
      <c r="D86" s="52">
        <v>-518.50999999999794</v>
      </c>
      <c r="E86" s="21">
        <v>-1.82754252611202E-2</v>
      </c>
      <c r="F86" s="22">
        <v>9</v>
      </c>
      <c r="G86" s="23" t="s">
        <v>280</v>
      </c>
      <c r="H86" s="24">
        <v>45973</v>
      </c>
      <c r="I86" s="22" t="s">
        <v>22</v>
      </c>
      <c r="J86" s="25">
        <v>8954069218</v>
      </c>
      <c r="K86" s="25">
        <v>283374689.52308601</v>
      </c>
      <c r="L86" s="21">
        <v>0.45306122448979502</v>
      </c>
      <c r="M86" s="25">
        <v>3165741531.6307602</v>
      </c>
      <c r="N86" s="25">
        <v>142539342.11223301</v>
      </c>
      <c r="O86" s="26">
        <v>0.51428571428571401</v>
      </c>
      <c r="P86" t="str">
        <f>TEXT(H86,"MM/DD")&amp;" "&amp;I86&amp;" ["&amp;TEXT(C86,"0")&amp;"] (dis： "&amp;TEXT(D86,"0")&amp;"，"&amp;TEXT(E86,"0.00%")&amp;" ) (vol_wei_pr："&amp;TEXT(O86,"0.00%")&amp;")"</f>
        <v>11/12 open [27853] (dis： -519，-1.83% ) (vol_wei_pr：51.43%)</v>
      </c>
    </row>
    <row r="87" spans="1:16" ht="17.25" thickBot="1" x14ac:dyDescent="0.3">
      <c r="A87" t="s">
        <v>209</v>
      </c>
      <c r="B87" t="s">
        <v>210</v>
      </c>
      <c r="C87" s="57">
        <v>27847.67</v>
      </c>
      <c r="D87" s="55">
        <v>-524.31000000000097</v>
      </c>
      <c r="E87" s="4">
        <v>-1.84798523049854E-2</v>
      </c>
      <c r="F87" s="6">
        <v>10</v>
      </c>
      <c r="G87" s="10" t="s">
        <v>281</v>
      </c>
      <c r="H87" s="11">
        <v>45994</v>
      </c>
      <c r="I87" s="6" t="s">
        <v>17</v>
      </c>
      <c r="J87" s="8">
        <v>6838633055</v>
      </c>
      <c r="K87" s="8">
        <v>311628833.69347101</v>
      </c>
      <c r="L87" s="4">
        <v>0.55102040816326503</v>
      </c>
      <c r="M87" s="8">
        <v>4066275542.9493899</v>
      </c>
      <c r="N87" s="8">
        <v>159339356.750101</v>
      </c>
      <c r="O87" s="27">
        <v>0.64081632653061205</v>
      </c>
      <c r="P87" t="str">
        <f>TEXT(H87,"MM/DD")&amp;" "&amp;I87&amp;" ["&amp;TEXT(C87,"0")&amp;"] (dis： "&amp;TEXT(D87,"0")&amp;"，"&amp;TEXT(E87,"0.00%")&amp;" ) (vol_wei_pr："&amp;TEXT(O87,"0.00%")&amp;")"</f>
        <v>12/03 max [27848] (dis： -524，-1.85% ) (vol_wei_pr：64.08%)</v>
      </c>
    </row>
    <row r="88" spans="1:16" x14ac:dyDescent="0.25">
      <c r="A88" t="s">
        <v>209</v>
      </c>
      <c r="B88" t="s">
        <v>210</v>
      </c>
      <c r="C88" s="62">
        <v>27818.54</v>
      </c>
      <c r="D88" s="54">
        <v>-553.43999999999801</v>
      </c>
      <c r="E88" s="15">
        <v>-1.9506569509776799E-2</v>
      </c>
      <c r="F88" s="16">
        <v>11</v>
      </c>
      <c r="G88" s="17" t="s">
        <v>282</v>
      </c>
      <c r="H88" s="18">
        <v>45968</v>
      </c>
      <c r="I88" s="16" t="s">
        <v>22</v>
      </c>
      <c r="J88" s="19">
        <v>7878592276</v>
      </c>
      <c r="K88" s="19">
        <v>351609511.03032202</v>
      </c>
      <c r="L88" s="15">
        <v>0.73673469387755097</v>
      </c>
      <c r="M88" s="19">
        <v>2510435878.4228101</v>
      </c>
      <c r="N88" s="19">
        <v>172078806.046877</v>
      </c>
      <c r="O88" s="20">
        <v>0.69183673469387696</v>
      </c>
      <c r="P88" t="str">
        <f>TEXT(H88,"MM/DD")&amp;" "&amp;I88&amp;" ["&amp;TEXT(C88,"0")&amp;"] (dis： "&amp;TEXT(D88,"0")&amp;"，"&amp;TEXT(E88,"0.00%")&amp;" ) (vol_wei_pr："&amp;TEXT(O88,"0.00%")&amp;")"</f>
        <v>11/07 open [27819] (dis： -553，-1.95% ) (vol_wei_pr：69.18%)</v>
      </c>
    </row>
    <row r="89" spans="1:16" ht="17.25" thickBot="1" x14ac:dyDescent="0.3">
      <c r="A89" t="s">
        <v>209</v>
      </c>
      <c r="B89" t="s">
        <v>210</v>
      </c>
      <c r="C89" s="48">
        <v>27818.54</v>
      </c>
      <c r="D89" s="52">
        <v>-553.43999999999801</v>
      </c>
      <c r="E89" s="21">
        <v>-1.9506569509776799E-2</v>
      </c>
      <c r="F89" s="22">
        <v>11</v>
      </c>
      <c r="G89" s="23" t="s">
        <v>283</v>
      </c>
      <c r="H89" s="24">
        <v>45968</v>
      </c>
      <c r="I89" s="22" t="s">
        <v>17</v>
      </c>
      <c r="J89" s="25">
        <v>7878592276</v>
      </c>
      <c r="K89" s="25">
        <v>351609511.03032202</v>
      </c>
      <c r="L89" s="21">
        <v>0.73673469387755097</v>
      </c>
      <c r="M89" s="25">
        <v>2510435878.4228101</v>
      </c>
      <c r="N89" s="25">
        <v>172078806.046877</v>
      </c>
      <c r="O89" s="26">
        <v>0.69183673469387696</v>
      </c>
      <c r="P89" t="str">
        <f>TEXT(H89,"MM/DD")&amp;" "&amp;I89&amp;" ["&amp;TEXT(C89,"0")&amp;"] (dis： "&amp;TEXT(D89,"0")&amp;"，"&amp;TEXT(E89,"0.00%")&amp;" ) (vol_wei_pr："&amp;TEXT(O89,"0.00%")&amp;")"</f>
        <v>11/07 max [27819] (dis： -553，-1.95% ) (vol_wei_pr：69.18%)</v>
      </c>
    </row>
    <row r="90" spans="1:16" x14ac:dyDescent="0.25">
      <c r="A90" t="s">
        <v>209</v>
      </c>
      <c r="B90" t="s">
        <v>210</v>
      </c>
      <c r="C90" s="47">
        <v>27816.45</v>
      </c>
      <c r="D90" s="51">
        <v>-555.52999999999804</v>
      </c>
      <c r="E90" s="15">
        <v>-1.9580233737652299E-2</v>
      </c>
      <c r="F90" s="16">
        <v>12</v>
      </c>
      <c r="G90" s="17" t="s">
        <v>284</v>
      </c>
      <c r="H90" s="18">
        <v>45975</v>
      </c>
      <c r="I90" s="16" t="s">
        <v>22</v>
      </c>
      <c r="J90" s="19">
        <v>9939352945</v>
      </c>
      <c r="K90" s="19">
        <v>374558306.82122999</v>
      </c>
      <c r="L90" s="15">
        <v>0.82857142857142796</v>
      </c>
      <c r="M90" s="19">
        <v>3766310479.7825999</v>
      </c>
      <c r="N90" s="19">
        <v>180774773.53731301</v>
      </c>
      <c r="O90" s="20">
        <v>0.787755102040816</v>
      </c>
      <c r="P90" t="str">
        <f>TEXT(H90,"MM/DD")&amp;" "&amp;I90&amp;" ["&amp;TEXT(C90,"0")&amp;"] (dis： "&amp;TEXT(D90,"0")&amp;"，"&amp;TEXT(E90,"0.00%")&amp;" ) (vol_wei_pr："&amp;TEXT(O90,"0.00%")&amp;")"</f>
        <v>11/14 open [27816] (dis： -556，-1.96% ) (vol_wei_pr：78.78%)</v>
      </c>
    </row>
    <row r="91" spans="1:16" x14ac:dyDescent="0.25">
      <c r="A91" t="s">
        <v>209</v>
      </c>
      <c r="B91" t="s">
        <v>210</v>
      </c>
      <c r="C91" s="49">
        <v>27816.45</v>
      </c>
      <c r="D91" s="53">
        <v>-555.52999999999804</v>
      </c>
      <c r="E91" s="27">
        <v>-1.9580233737652299E-2</v>
      </c>
      <c r="F91" s="28">
        <v>12</v>
      </c>
      <c r="G91" s="29" t="s">
        <v>285</v>
      </c>
      <c r="H91" s="30">
        <v>45975</v>
      </c>
      <c r="I91" s="28" t="s">
        <v>17</v>
      </c>
      <c r="J91" s="31">
        <v>9939352945</v>
      </c>
      <c r="K91" s="31">
        <v>374558306.82122999</v>
      </c>
      <c r="L91" s="27">
        <v>0.82857142857142796</v>
      </c>
      <c r="M91" s="31">
        <v>3766310479.7825999</v>
      </c>
      <c r="N91" s="31">
        <v>180774773.53731301</v>
      </c>
      <c r="O91" s="32">
        <v>0.787755102040816</v>
      </c>
      <c r="P91" t="str">
        <f>TEXT(H91,"MM/DD")&amp;" "&amp;I91&amp;" ["&amp;TEXT(C91,"0")&amp;"] (dis： "&amp;TEXT(D91,"0")&amp;"，"&amp;TEXT(E91,"0.00%")&amp;" ) (vol_wei_pr："&amp;TEXT(O91,"0.00%")&amp;")"</f>
        <v>11/14 max [27816] (dis： -556，-1.96% ) (vol_wei_pr：78.78%)</v>
      </c>
    </row>
    <row r="92" spans="1:16" ht="17.25" thickBot="1" x14ac:dyDescent="0.3">
      <c r="A92" t="s">
        <v>209</v>
      </c>
      <c r="B92" t="s">
        <v>210</v>
      </c>
      <c r="C92" s="49">
        <v>27811.81</v>
      </c>
      <c r="D92" s="53">
        <v>-560.16999999999803</v>
      </c>
      <c r="E92" s="27">
        <v>-1.9743775372744399E-2</v>
      </c>
      <c r="F92" s="28">
        <v>12</v>
      </c>
      <c r="G92" s="29" t="s">
        <v>286</v>
      </c>
      <c r="H92" s="30">
        <v>45974</v>
      </c>
      <c r="I92" s="28" t="s">
        <v>29</v>
      </c>
      <c r="J92" s="31">
        <v>10545273898</v>
      </c>
      <c r="K92" s="31">
        <v>374558306.82122999</v>
      </c>
      <c r="L92" s="27">
        <v>0.82857142857142796</v>
      </c>
      <c r="M92" s="31">
        <v>3859796168.47264</v>
      </c>
      <c r="N92" s="31">
        <v>180774773.53731301</v>
      </c>
      <c r="O92" s="32">
        <v>0.787755102040816</v>
      </c>
      <c r="P92" t="str">
        <f>TEXT(H92,"MM/DD")&amp;" "&amp;I92&amp;" ["&amp;TEXT(C92,"0")&amp;"] (dis： "&amp;TEXT(D92,"0")&amp;"，"&amp;TEXT(E92,"0.00%")&amp;" ) (vol_wei_pr："&amp;TEXT(O92,"0.00%")&amp;")"</f>
        <v>11/13 min [27812] (dis： -560，-1.97% ) (vol_wei_pr：78.78%)</v>
      </c>
    </row>
    <row r="93" spans="1:16" x14ac:dyDescent="0.25">
      <c r="A93" s="39" t="s">
        <v>209</v>
      </c>
      <c r="B93" s="40" t="s">
        <v>210</v>
      </c>
      <c r="C93" s="51">
        <v>27805.47</v>
      </c>
      <c r="D93" s="51">
        <v>-566.50999999999794</v>
      </c>
      <c r="E93" s="15">
        <v>-1.99672352793142E-2</v>
      </c>
      <c r="F93" s="16">
        <v>11</v>
      </c>
      <c r="G93" s="17" t="s">
        <v>287</v>
      </c>
      <c r="H93" s="18">
        <v>45971</v>
      </c>
      <c r="I93" s="16" t="s">
        <v>22</v>
      </c>
      <c r="J93" s="19">
        <v>7491028505</v>
      </c>
      <c r="K93" s="19">
        <v>327986413.088067</v>
      </c>
      <c r="L93" s="15">
        <v>0.606122448979591</v>
      </c>
      <c r="M93" s="19">
        <v>2471117843.04318</v>
      </c>
      <c r="N93" s="19">
        <v>163728462.67535701</v>
      </c>
      <c r="O93" s="20">
        <v>0.659183673469387</v>
      </c>
      <c r="P93" t="str">
        <f>TEXT(H93,"MM/DD")&amp;" "&amp;I93&amp;" ["&amp;TEXT(C93,"0")&amp;"] (dis： "&amp;TEXT(D93,"0")&amp;"，"&amp;TEXT(E93,"0.00%")&amp;" ) (vol_wei_pr："&amp;TEXT(O93,"0.00%")&amp;")"</f>
        <v>11/10 open [27805] (dis： -567，-2.00% ) (vol_wei_pr：65.92%)</v>
      </c>
    </row>
    <row r="94" spans="1:16" ht="17.25" thickBot="1" x14ac:dyDescent="0.3">
      <c r="A94" s="41" t="s">
        <v>209</v>
      </c>
      <c r="B94" s="42" t="s">
        <v>210</v>
      </c>
      <c r="C94" s="52">
        <v>27799.919999999998</v>
      </c>
      <c r="D94" s="52">
        <v>-572.06000000000097</v>
      </c>
      <c r="E94" s="21">
        <v>-2.0162850812667998E-2</v>
      </c>
      <c r="F94" s="22">
        <v>11</v>
      </c>
      <c r="G94" s="23" t="s">
        <v>288</v>
      </c>
      <c r="H94" s="24">
        <v>45973</v>
      </c>
      <c r="I94" s="22" t="s">
        <v>29</v>
      </c>
      <c r="J94" s="25">
        <v>8954069218</v>
      </c>
      <c r="K94" s="25">
        <v>327986413.088067</v>
      </c>
      <c r="L94" s="21">
        <v>0.606122448979591</v>
      </c>
      <c r="M94" s="25">
        <v>3165741531.6307602</v>
      </c>
      <c r="N94" s="25">
        <v>163728462.67535701</v>
      </c>
      <c r="O94" s="26">
        <v>0.659183673469387</v>
      </c>
      <c r="P94" t="str">
        <f>TEXT(H94,"MM/DD")&amp;" "&amp;I94&amp;" ["&amp;TEXT(C94,"0")&amp;"] (dis： "&amp;TEXT(D94,"0")&amp;"，"&amp;TEXT(E94,"0.00%")&amp;" ) (vol_wei_pr："&amp;TEXT(O94,"0.00%")&amp;")"</f>
        <v>11/12 min [27800] (dis： -572，-2.02% ) (vol_wei_pr：65.92%)</v>
      </c>
    </row>
    <row r="95" spans="1:16" ht="17.25" thickBot="1" x14ac:dyDescent="0.3">
      <c r="A95" s="44" t="s">
        <v>209</v>
      </c>
      <c r="B95" s="44" t="s">
        <v>210</v>
      </c>
      <c r="C95" s="53">
        <v>27799.09</v>
      </c>
      <c r="D95" s="53">
        <v>-572.88999999999896</v>
      </c>
      <c r="E95" s="27">
        <v>-2.0192105027565899E-2</v>
      </c>
      <c r="F95" s="28">
        <v>11</v>
      </c>
      <c r="G95" s="29" t="s">
        <v>289</v>
      </c>
      <c r="H95" s="30">
        <v>45966</v>
      </c>
      <c r="I95" s="28" t="s">
        <v>17</v>
      </c>
      <c r="J95" s="31">
        <v>8989778518</v>
      </c>
      <c r="K95" s="31">
        <v>316148450.40882802</v>
      </c>
      <c r="L95" s="27">
        <v>0.58775510204081605</v>
      </c>
      <c r="M95" s="31">
        <v>2672677143.9760499</v>
      </c>
      <c r="N95" s="31">
        <v>158356157.654888</v>
      </c>
      <c r="O95" s="27">
        <v>0.62040816326530601</v>
      </c>
      <c r="P95" t="str">
        <f>TEXT(H95,"MM/DD")&amp;" "&amp;I95&amp;" ["&amp;TEXT(C95,"0")&amp;"] (dis： "&amp;TEXT(D95,"0")&amp;"，"&amp;TEXT(E95,"0.00%")&amp;" ) (vol_wei_pr："&amp;TEXT(O95,"0.00%")&amp;")"</f>
        <v>11/05 max [27799] (dis： -573，-2.02% ) (vol_wei_pr：62.04%)</v>
      </c>
    </row>
    <row r="96" spans="1:16" x14ac:dyDescent="0.25">
      <c r="A96" t="s">
        <v>209</v>
      </c>
      <c r="B96" t="s">
        <v>210</v>
      </c>
      <c r="C96" s="47">
        <v>27796.9</v>
      </c>
      <c r="D96" s="51">
        <v>-575.07999999999799</v>
      </c>
      <c r="E96" s="15">
        <v>-2.02692938596459E-2</v>
      </c>
      <c r="F96" s="16">
        <v>12</v>
      </c>
      <c r="G96" s="17" t="s">
        <v>290</v>
      </c>
      <c r="H96" s="18">
        <v>45989</v>
      </c>
      <c r="I96" s="16" t="s">
        <v>17</v>
      </c>
      <c r="J96" s="19">
        <v>7671742311</v>
      </c>
      <c r="K96" s="19">
        <v>349391115.76544398</v>
      </c>
      <c r="L96" s="15">
        <v>0.71836734693877502</v>
      </c>
      <c r="M96" s="19">
        <v>4111184910.1733198</v>
      </c>
      <c r="N96" s="19">
        <v>176170460.93148601</v>
      </c>
      <c r="O96" s="20">
        <v>0.75918367346938698</v>
      </c>
      <c r="P96" t="str">
        <f>TEXT(H96,"MM/DD")&amp;" "&amp;I96&amp;" ["&amp;TEXT(C96,"0")&amp;"] (dis： "&amp;TEXT(D96,"0")&amp;"，"&amp;TEXT(E96,"0.00%")&amp;" ) (vol_wei_pr："&amp;TEXT(O96,"0.00%")&amp;")"</f>
        <v>11/28 max [27797] (dis： -575，-2.03% ) (vol_wei_pr：75.92%)</v>
      </c>
    </row>
    <row r="97" spans="1:16" x14ac:dyDescent="0.25">
      <c r="A97" t="s">
        <v>209</v>
      </c>
      <c r="B97" t="s">
        <v>210</v>
      </c>
      <c r="C97" s="49">
        <v>27796.43</v>
      </c>
      <c r="D97" s="53">
        <v>-575.54999999999905</v>
      </c>
      <c r="E97" s="27">
        <v>-2.0285859499407401E-2</v>
      </c>
      <c r="F97" s="28">
        <v>12</v>
      </c>
      <c r="G97" s="29" t="s">
        <v>291</v>
      </c>
      <c r="H97" s="30">
        <v>45996</v>
      </c>
      <c r="I97" s="28" t="s">
        <v>22</v>
      </c>
      <c r="J97" s="31">
        <v>6781520261</v>
      </c>
      <c r="K97" s="31">
        <v>349391115.76544398</v>
      </c>
      <c r="L97" s="27">
        <v>0.71836734693877502</v>
      </c>
      <c r="M97" s="31">
        <v>4321729359.0192204</v>
      </c>
      <c r="N97" s="31">
        <v>176170460.93148601</v>
      </c>
      <c r="O97" s="32">
        <v>0.75918367346938698</v>
      </c>
      <c r="P97" t="str">
        <f>TEXT(H97,"MM/DD")&amp;" "&amp;I97&amp;" ["&amp;TEXT(C97,"0")&amp;"] (dis： "&amp;TEXT(D97,"0")&amp;"，"&amp;TEXT(E97,"0.00%")&amp;" ) (vol_wei_pr："&amp;TEXT(O97,"0.00%")&amp;")"</f>
        <v>12/05 open [27796] (dis： -576，-2.03% ) (vol_wei_pr：75.92%)</v>
      </c>
    </row>
    <row r="98" spans="1:16" x14ac:dyDescent="0.25">
      <c r="A98" t="s">
        <v>209</v>
      </c>
      <c r="B98" t="s">
        <v>210</v>
      </c>
      <c r="C98" s="49">
        <v>27795.71</v>
      </c>
      <c r="D98" s="53">
        <v>-576.27</v>
      </c>
      <c r="E98" s="27">
        <v>-2.03112366496804E-2</v>
      </c>
      <c r="F98" s="28">
        <v>12</v>
      </c>
      <c r="G98" s="29" t="s">
        <v>292</v>
      </c>
      <c r="H98" s="30">
        <v>45995</v>
      </c>
      <c r="I98" s="28" t="s">
        <v>20</v>
      </c>
      <c r="J98" s="31">
        <v>6475222009</v>
      </c>
      <c r="K98" s="31">
        <v>349391115.76544398</v>
      </c>
      <c r="L98" s="27">
        <v>0.71836734693877502</v>
      </c>
      <c r="M98" s="31">
        <v>3985966700.7741899</v>
      </c>
      <c r="N98" s="31">
        <v>176170460.93148601</v>
      </c>
      <c r="O98" s="32">
        <v>0.75918367346938698</v>
      </c>
      <c r="P98" t="str">
        <f>TEXT(H98,"MM/DD")&amp;" "&amp;I98&amp;" ["&amp;TEXT(C98,"0")&amp;"] (dis： "&amp;TEXT(D98,"0")&amp;"，"&amp;TEXT(E98,"0.00%")&amp;" ) (vol_wei_pr："&amp;TEXT(O98,"0.00%")&amp;")"</f>
        <v>12/04 close [27796] (dis： -576，-2.03% ) (vol_wei_pr：75.92%)</v>
      </c>
    </row>
    <row r="99" spans="1:16" x14ac:dyDescent="0.25">
      <c r="A99" t="s">
        <v>209</v>
      </c>
      <c r="B99" t="s">
        <v>210</v>
      </c>
      <c r="C99" s="49">
        <v>27793.040000000001</v>
      </c>
      <c r="D99" s="53">
        <v>-578.93999999999801</v>
      </c>
      <c r="E99" s="27">
        <v>-2.04053435819424E-2</v>
      </c>
      <c r="F99" s="28">
        <v>12</v>
      </c>
      <c r="G99" s="29" t="s">
        <v>292</v>
      </c>
      <c r="H99" s="30">
        <v>45994</v>
      </c>
      <c r="I99" s="28" t="s">
        <v>20</v>
      </c>
      <c r="J99" s="31">
        <v>6838633055</v>
      </c>
      <c r="K99" s="31">
        <v>349391115.76544398</v>
      </c>
      <c r="L99" s="27">
        <v>0.71836734693877502</v>
      </c>
      <c r="M99" s="31">
        <v>4066275542.9493899</v>
      </c>
      <c r="N99" s="31">
        <v>176170460.93148601</v>
      </c>
      <c r="O99" s="32">
        <v>0.75918367346938698</v>
      </c>
      <c r="P99" t="str">
        <f>TEXT(H99,"MM/DD")&amp;" "&amp;I99&amp;" ["&amp;TEXT(C99,"0")&amp;"] (dis： "&amp;TEXT(D99,"0")&amp;"，"&amp;TEXT(E99,"0.00%")&amp;" ) (vol_wei_pr："&amp;TEXT(O99,"0.00%")&amp;")"</f>
        <v>12/03 close [27793] (dis： -579，-2.04% ) (vol_wei_pr：75.92%)</v>
      </c>
    </row>
    <row r="100" spans="1:16" x14ac:dyDescent="0.25">
      <c r="A100" t="s">
        <v>209</v>
      </c>
      <c r="B100" t="s">
        <v>210</v>
      </c>
      <c r="C100" s="49">
        <v>27785.91</v>
      </c>
      <c r="D100" s="53">
        <v>-586.06999999999903</v>
      </c>
      <c r="E100" s="27">
        <v>-2.06566478617283E-2</v>
      </c>
      <c r="F100" s="28">
        <v>12</v>
      </c>
      <c r="G100" s="29" t="s">
        <v>291</v>
      </c>
      <c r="H100" s="30">
        <v>45966</v>
      </c>
      <c r="I100" s="28" t="s">
        <v>22</v>
      </c>
      <c r="J100" s="31">
        <v>8989778518</v>
      </c>
      <c r="K100" s="31">
        <v>349391115.76544398</v>
      </c>
      <c r="L100" s="27">
        <v>0.71836734693877502</v>
      </c>
      <c r="M100" s="31">
        <v>2672677143.9760499</v>
      </c>
      <c r="N100" s="31">
        <v>176170460.93148601</v>
      </c>
      <c r="O100" s="32">
        <v>0.75918367346938698</v>
      </c>
      <c r="P100" t="str">
        <f>TEXT(H100,"MM/DD")&amp;" "&amp;I100&amp;" ["&amp;TEXT(C100,"0")&amp;"] (dis： "&amp;TEXT(D100,"0")&amp;"，"&amp;TEXT(E100,"0.00%")&amp;" ) (vol_wei_pr："&amp;TEXT(O100,"0.00%")&amp;")"</f>
        <v>11/05 open [27786] (dis： -586，-2.07% ) (vol_wei_pr：75.92%)</v>
      </c>
    </row>
    <row r="101" spans="1:16" x14ac:dyDescent="0.25">
      <c r="A101" s="44" t="s">
        <v>209</v>
      </c>
      <c r="B101" s="44" t="s">
        <v>210</v>
      </c>
      <c r="C101" s="49">
        <v>27784.95</v>
      </c>
      <c r="D101" s="53">
        <v>-587.02999999999804</v>
      </c>
      <c r="E101" s="27">
        <v>-2.0690484062092201E-2</v>
      </c>
      <c r="F101" s="28">
        <v>12</v>
      </c>
      <c r="G101" s="29" t="s">
        <v>292</v>
      </c>
      <c r="H101" s="30">
        <v>45972</v>
      </c>
      <c r="I101" s="28" t="s">
        <v>20</v>
      </c>
      <c r="J101" s="31">
        <v>8924063428</v>
      </c>
      <c r="K101" s="31">
        <v>349391115.76544398</v>
      </c>
      <c r="L101" s="27">
        <v>0.71836734693877502</v>
      </c>
      <c r="M101" s="31">
        <v>3047657474.1194</v>
      </c>
      <c r="N101" s="31">
        <v>176170460.93148601</v>
      </c>
      <c r="O101" s="32">
        <v>0.75918367346938698</v>
      </c>
      <c r="P101" t="str">
        <f>TEXT(H101,"MM/DD")&amp;" "&amp;I101&amp;" ["&amp;TEXT(C101,"0")&amp;"] (dis： "&amp;TEXT(D101,"0")&amp;"，"&amp;TEXT(E101,"0.00%")&amp;" ) (vol_wei_pr："&amp;TEXT(O101,"0.00%")&amp;")"</f>
        <v>11/11 close [27785] (dis： -587，-2.07% ) (vol_wei_pr：75.92%)</v>
      </c>
    </row>
    <row r="102" spans="1:16" ht="17.25" thickBot="1" x14ac:dyDescent="0.3">
      <c r="A102" s="44" t="s">
        <v>209</v>
      </c>
      <c r="B102" s="44" t="s">
        <v>210</v>
      </c>
      <c r="C102" s="49">
        <v>27784.95</v>
      </c>
      <c r="D102" s="53">
        <v>-587.02999999999804</v>
      </c>
      <c r="E102" s="27">
        <v>-2.0690484062092201E-2</v>
      </c>
      <c r="F102" s="28">
        <v>12</v>
      </c>
      <c r="G102" s="29" t="s">
        <v>293</v>
      </c>
      <c r="H102" s="30">
        <v>45972</v>
      </c>
      <c r="I102" s="28" t="s">
        <v>29</v>
      </c>
      <c r="J102" s="31">
        <v>8924063428</v>
      </c>
      <c r="K102" s="31">
        <v>349391115.76544398</v>
      </c>
      <c r="L102" s="27">
        <v>0.71836734693877502</v>
      </c>
      <c r="M102" s="31">
        <v>3047657474.1194</v>
      </c>
      <c r="N102" s="31">
        <v>176170460.93148601</v>
      </c>
      <c r="O102" s="32">
        <v>0.75918367346938698</v>
      </c>
      <c r="P102" t="str">
        <f>TEXT(H102,"MM/DD")&amp;" "&amp;I102&amp;" ["&amp;TEXT(C102,"0")&amp;"] (dis： "&amp;TEXT(D102,"0")&amp;"，"&amp;TEXT(E102,"0.00%")&amp;" ) (vol_wei_pr："&amp;TEXT(O102,"0.00%")&amp;")"</f>
        <v>11/11 min [27785] (dis： -587，-2.07% ) (vol_wei_pr：75.92%)</v>
      </c>
    </row>
    <row r="103" spans="1:16" x14ac:dyDescent="0.25">
      <c r="A103" s="39" t="s">
        <v>209</v>
      </c>
      <c r="B103" s="40" t="s">
        <v>210</v>
      </c>
      <c r="C103" s="51">
        <v>27780.69</v>
      </c>
      <c r="D103" s="51">
        <v>-591.29</v>
      </c>
      <c r="E103" s="15">
        <v>-2.08406322012069E-2</v>
      </c>
      <c r="F103" s="16">
        <v>12</v>
      </c>
      <c r="G103" s="17" t="s">
        <v>294</v>
      </c>
      <c r="H103" s="18">
        <v>46008</v>
      </c>
      <c r="I103" s="16" t="s">
        <v>17</v>
      </c>
      <c r="J103" s="19">
        <v>9020647323</v>
      </c>
      <c r="K103" s="19">
        <v>356230197.70332098</v>
      </c>
      <c r="L103" s="15">
        <v>0.75714285714285701</v>
      </c>
      <c r="M103" s="19">
        <v>7585429997.17871</v>
      </c>
      <c r="N103" s="19">
        <v>192986735.05846599</v>
      </c>
      <c r="O103" s="20">
        <v>0.84693877551020402</v>
      </c>
      <c r="P103" t="str">
        <f>TEXT(H103,"MM/DD")&amp;" "&amp;I103&amp;" ["&amp;TEXT(C103,"0")&amp;"] (dis： "&amp;TEXT(D103,"0")&amp;"，"&amp;TEXT(E103,"0.00%")&amp;" ) (vol_wei_pr："&amp;TEXT(O103,"0.00%")&amp;")"</f>
        <v>12/17 max [27781] (dis： -591，-2.08% ) (vol_wei_pr：84.69%)</v>
      </c>
    </row>
    <row r="104" spans="1:16" ht="17.25" thickBot="1" x14ac:dyDescent="0.3">
      <c r="A104" s="41" t="s">
        <v>209</v>
      </c>
      <c r="B104" s="42" t="s">
        <v>210</v>
      </c>
      <c r="C104" s="52">
        <v>27773.42</v>
      </c>
      <c r="D104" s="52">
        <v>-598.56000000000097</v>
      </c>
      <c r="E104" s="21">
        <v>-2.1096870926879299E-2</v>
      </c>
      <c r="F104" s="22">
        <v>12</v>
      </c>
      <c r="G104" s="23" t="s">
        <v>295</v>
      </c>
      <c r="H104" s="24">
        <v>45995</v>
      </c>
      <c r="I104" s="22" t="s">
        <v>22</v>
      </c>
      <c r="J104" s="25">
        <v>6475222009</v>
      </c>
      <c r="K104" s="25">
        <v>356230197.70332098</v>
      </c>
      <c r="L104" s="21">
        <v>0.75714285714285701</v>
      </c>
      <c r="M104" s="25">
        <v>3985966700.7741899</v>
      </c>
      <c r="N104" s="25">
        <v>192986735.05846599</v>
      </c>
      <c r="O104" s="26">
        <v>0.84693877551020402</v>
      </c>
      <c r="P104" t="str">
        <f>TEXT(H104,"MM/DD")&amp;" "&amp;I104&amp;" ["&amp;TEXT(C104,"0")&amp;"] (dis： "&amp;TEXT(D104,"0")&amp;"，"&amp;TEXT(E104,"0.00%")&amp;" ) (vol_wei_pr："&amp;TEXT(O104,"0.00%")&amp;")"</f>
        <v>12/04 open [27773] (dis： -599，-2.11% ) (vol_wei_pr：84.69%)</v>
      </c>
    </row>
    <row r="105" spans="1:16" x14ac:dyDescent="0.25">
      <c r="A105" t="s">
        <v>209</v>
      </c>
      <c r="B105" t="s">
        <v>210</v>
      </c>
      <c r="C105" s="47">
        <v>27768.27</v>
      </c>
      <c r="D105" s="51">
        <v>-603.70999999999901</v>
      </c>
      <c r="E105" s="15">
        <v>-2.1278388043414601E-2</v>
      </c>
      <c r="F105" s="16">
        <v>13</v>
      </c>
      <c r="G105" s="17" t="s">
        <v>296</v>
      </c>
      <c r="H105" s="18">
        <v>45950</v>
      </c>
      <c r="I105" s="16" t="s">
        <v>17</v>
      </c>
      <c r="J105" s="19">
        <v>8045886081</v>
      </c>
      <c r="K105" s="19">
        <v>378842434.45504898</v>
      </c>
      <c r="L105" s="15">
        <v>0.84285714285714197</v>
      </c>
      <c r="M105" s="19">
        <v>1633822562.5253799</v>
      </c>
      <c r="N105" s="19">
        <v>197578445.930608</v>
      </c>
      <c r="O105" s="20">
        <v>0.88775510204081598</v>
      </c>
      <c r="P105" t="str">
        <f>TEXT(H105,"MM/DD")&amp;" "&amp;I105&amp;" ["&amp;TEXT(C105,"0")&amp;"] (dis： "&amp;TEXT(D105,"0")&amp;"，"&amp;TEXT(E105,"0.00%")&amp;" ) (vol_wei_pr："&amp;TEXT(O105,"0.00%")&amp;")"</f>
        <v>10/20 max [27768] (dis： -604，-2.13% ) (vol_wei_pr：88.78%)</v>
      </c>
    </row>
    <row r="106" spans="1:16" x14ac:dyDescent="0.25">
      <c r="A106" t="s">
        <v>209</v>
      </c>
      <c r="B106" t="s">
        <v>210</v>
      </c>
      <c r="C106" s="49">
        <v>27752.41</v>
      </c>
      <c r="D106" s="53">
        <v>-619.56999999999903</v>
      </c>
      <c r="E106" s="27">
        <v>-2.18373902702595E-2</v>
      </c>
      <c r="F106" s="28">
        <v>13</v>
      </c>
      <c r="G106" s="29" t="s">
        <v>297</v>
      </c>
      <c r="H106" s="30">
        <v>45951</v>
      </c>
      <c r="I106" s="28" t="s">
        <v>20</v>
      </c>
      <c r="J106" s="31">
        <v>8507303277</v>
      </c>
      <c r="K106" s="31">
        <v>378842434.45504898</v>
      </c>
      <c r="L106" s="27">
        <v>0.84285714285714197</v>
      </c>
      <c r="M106" s="31">
        <v>1788440207.27636</v>
      </c>
      <c r="N106" s="31">
        <v>197578445.930608</v>
      </c>
      <c r="O106" s="32">
        <v>0.88775510204081598</v>
      </c>
      <c r="P106" t="str">
        <f>TEXT(H106,"MM/DD")&amp;" "&amp;I106&amp;" ["&amp;TEXT(C106,"0")&amp;"] (dis： "&amp;TEXT(D106,"0")&amp;"，"&amp;TEXT(E106,"0.00%")&amp;" ) (vol_wei_pr："&amp;TEXT(O106,"0.00%")&amp;")"</f>
        <v>10/21 close [27752] (dis： -620，-2.18% ) (vol_wei_pr：88.78%)</v>
      </c>
    </row>
    <row r="107" spans="1:16" x14ac:dyDescent="0.25">
      <c r="A107" t="s">
        <v>209</v>
      </c>
      <c r="B107" t="s">
        <v>210</v>
      </c>
      <c r="C107" s="49">
        <v>27742.55</v>
      </c>
      <c r="D107" s="53">
        <v>-629.42999999999995</v>
      </c>
      <c r="E107" s="27">
        <v>-2.21849162448302E-2</v>
      </c>
      <c r="F107" s="28">
        <v>13</v>
      </c>
      <c r="G107" s="29" t="s">
        <v>298</v>
      </c>
      <c r="H107" s="30">
        <v>45951</v>
      </c>
      <c r="I107" s="28" t="s">
        <v>22</v>
      </c>
      <c r="J107" s="31">
        <v>8507303277</v>
      </c>
      <c r="K107" s="31">
        <v>378842434.45504898</v>
      </c>
      <c r="L107" s="27">
        <v>0.84285714285714197</v>
      </c>
      <c r="M107" s="31">
        <v>1788440207.27636</v>
      </c>
      <c r="N107" s="31">
        <v>197578445.930608</v>
      </c>
      <c r="O107" s="32">
        <v>0.88775510204081598</v>
      </c>
      <c r="P107" t="str">
        <f>TEXT(H107,"MM/DD")&amp;" "&amp;I107&amp;" ["&amp;TEXT(C107,"0")&amp;"] (dis： "&amp;TEXT(D107,"0")&amp;"，"&amp;TEXT(E107,"0.00%")&amp;" ) (vol_wei_pr："&amp;TEXT(O107,"0.00%")&amp;")"</f>
        <v>10/21 open [27743] (dis： -629，-2.22% ) (vol_wei_pr：88.78%)</v>
      </c>
    </row>
    <row r="108" spans="1:16" ht="17.25" thickBot="1" x14ac:dyDescent="0.3">
      <c r="A108" t="s">
        <v>209</v>
      </c>
      <c r="B108" t="s">
        <v>210</v>
      </c>
      <c r="C108" s="48">
        <v>27742.55</v>
      </c>
      <c r="D108" s="52">
        <v>-629.42999999999995</v>
      </c>
      <c r="E108" s="21">
        <v>-2.21849162448302E-2</v>
      </c>
      <c r="F108" s="22">
        <v>13</v>
      </c>
      <c r="G108" s="23" t="s">
        <v>299</v>
      </c>
      <c r="H108" s="24">
        <v>45951</v>
      </c>
      <c r="I108" s="22" t="s">
        <v>29</v>
      </c>
      <c r="J108" s="25">
        <v>8507303277</v>
      </c>
      <c r="K108" s="25">
        <v>378842434.45504898</v>
      </c>
      <c r="L108" s="21">
        <v>0.84285714285714197</v>
      </c>
      <c r="M108" s="25">
        <v>1788440207.27636</v>
      </c>
      <c r="N108" s="25">
        <v>197578445.930608</v>
      </c>
      <c r="O108" s="26">
        <v>0.88775510204081598</v>
      </c>
      <c r="P108" t="str">
        <f>TEXT(H108,"MM/DD")&amp;" "&amp;I108&amp;" ["&amp;TEXT(C108,"0")&amp;"] (dis： "&amp;TEXT(D108,"0")&amp;"，"&amp;TEXT(E108,"0.00%")&amp;" ) (vol_wei_pr："&amp;TEXT(O108,"0.00%")&amp;")"</f>
        <v>10/21 min [27743] (dis： -629，-2.22% ) (vol_wei_pr：88.78%)</v>
      </c>
    </row>
    <row r="109" spans="1:16" ht="17.25" thickBot="1" x14ac:dyDescent="0.3">
      <c r="A109" t="s">
        <v>209</v>
      </c>
      <c r="B109" t="s">
        <v>210</v>
      </c>
      <c r="C109" s="53">
        <v>27741.89</v>
      </c>
      <c r="D109" s="46">
        <v>-630.09</v>
      </c>
      <c r="E109" s="4">
        <v>-2.22081786325804E-2</v>
      </c>
      <c r="F109" s="6">
        <v>13</v>
      </c>
      <c r="G109" s="10" t="s">
        <v>300</v>
      </c>
      <c r="H109" s="11">
        <v>45993</v>
      </c>
      <c r="I109" s="6" t="s">
        <v>17</v>
      </c>
      <c r="J109" s="8">
        <v>7321099919</v>
      </c>
      <c r="K109" s="8">
        <v>368931299.02716899</v>
      </c>
      <c r="L109" s="4">
        <v>0.81632653061224403</v>
      </c>
      <c r="M109" s="8">
        <v>4204867716.8621101</v>
      </c>
      <c r="N109" s="8">
        <v>205562472.18065</v>
      </c>
      <c r="O109" s="27">
        <v>0.91836734693877498</v>
      </c>
      <c r="P109" t="str">
        <f>TEXT(H109,"MM/DD")&amp;" "&amp;I109&amp;" ["&amp;TEXT(C109,"0")&amp;"] (dis： "&amp;TEXT(D109,"0")&amp;"，"&amp;TEXT(E109,"0.00%")&amp;" ) (vol_wei_pr："&amp;TEXT(O109,"0.00%")&amp;")"</f>
        <v>12/02 max [27742] (dis： -630，-2.22% ) (vol_wei_pr：91.84%)</v>
      </c>
    </row>
    <row r="110" spans="1:16" x14ac:dyDescent="0.25">
      <c r="A110" s="39" t="s">
        <v>209</v>
      </c>
      <c r="B110" s="40" t="s">
        <v>210</v>
      </c>
      <c r="C110" s="51">
        <v>27740.66</v>
      </c>
      <c r="D110" s="51">
        <v>-631.31999999999903</v>
      </c>
      <c r="E110" s="15">
        <v>-2.22515312642966E-2</v>
      </c>
      <c r="F110" s="16">
        <v>14</v>
      </c>
      <c r="G110" s="17" t="s">
        <v>301</v>
      </c>
      <c r="H110" s="18">
        <v>46007</v>
      </c>
      <c r="I110" s="16" t="s">
        <v>17</v>
      </c>
      <c r="J110" s="19">
        <v>9586999810</v>
      </c>
      <c r="K110" s="19">
        <v>393833244.03872699</v>
      </c>
      <c r="L110" s="15">
        <v>0.871428571428571</v>
      </c>
      <c r="M110" s="19">
        <v>7787063569.5392704</v>
      </c>
      <c r="N110" s="19">
        <v>225789136.69022</v>
      </c>
      <c r="O110" s="20">
        <v>0.96122448979591801</v>
      </c>
      <c r="P110" t="str">
        <f>TEXT(H110,"MM/DD")&amp;" "&amp;I110&amp;" ["&amp;TEXT(C110,"0")&amp;"] (dis： "&amp;TEXT(D110,"0")&amp;"，"&amp;TEXT(E110,"0.00%")&amp;" ) (vol_wei_pr："&amp;TEXT(O110,"0.00%")&amp;")"</f>
        <v>12/16 max [27741] (dis： -631，-2.23% ) (vol_wei_pr：96.12%)</v>
      </c>
    </row>
    <row r="111" spans="1:16" ht="17.25" thickBot="1" x14ac:dyDescent="0.3">
      <c r="A111" s="41" t="s">
        <v>209</v>
      </c>
      <c r="B111" s="42" t="s">
        <v>210</v>
      </c>
      <c r="C111" s="52">
        <v>27738.5</v>
      </c>
      <c r="D111" s="52">
        <v>-633.479999999999</v>
      </c>
      <c r="E111" s="21">
        <v>-2.2327662715115298E-2</v>
      </c>
      <c r="F111" s="22">
        <v>14</v>
      </c>
      <c r="G111" s="23" t="s">
        <v>302</v>
      </c>
      <c r="H111" s="24">
        <v>45996</v>
      </c>
      <c r="I111" s="22" t="s">
        <v>29</v>
      </c>
      <c r="J111" s="25">
        <v>6781520261</v>
      </c>
      <c r="K111" s="25">
        <v>393833244.03872699</v>
      </c>
      <c r="L111" s="21">
        <v>0.871428571428571</v>
      </c>
      <c r="M111" s="25">
        <v>4321729359.0192204</v>
      </c>
      <c r="N111" s="25">
        <v>225789136.69022</v>
      </c>
      <c r="O111" s="26">
        <v>0.96122448979591801</v>
      </c>
      <c r="P111" t="str">
        <f>TEXT(H111,"MM/DD")&amp;" "&amp;I111&amp;" ["&amp;TEXT(C111,"0")&amp;"] (dis： "&amp;TEXT(D111,"0")&amp;"，"&amp;TEXT(E111,"0.00%")&amp;" ) (vol_wei_pr："&amp;TEXT(O111,"0.00%")&amp;")"</f>
        <v>12/05 min [27739] (dis： -633，-2.23% ) (vol_wei_pr：96.12%)</v>
      </c>
    </row>
    <row r="112" spans="1:16" x14ac:dyDescent="0.25">
      <c r="A112" t="s">
        <v>209</v>
      </c>
      <c r="B112" t="s">
        <v>210</v>
      </c>
      <c r="C112" s="53">
        <v>27732.78</v>
      </c>
      <c r="D112" s="53">
        <v>-639.20000000000005</v>
      </c>
      <c r="E112" s="27">
        <v>-2.2529270075616802E-2</v>
      </c>
      <c r="F112" s="28">
        <v>14</v>
      </c>
      <c r="G112" s="29" t="s">
        <v>303</v>
      </c>
      <c r="H112" s="30">
        <v>45946</v>
      </c>
      <c r="I112" s="28" t="s">
        <v>17</v>
      </c>
      <c r="J112" s="31">
        <v>9035460141</v>
      </c>
      <c r="K112" s="31">
        <v>388703495.975981</v>
      </c>
      <c r="L112" s="27">
        <v>0.85714285714285698</v>
      </c>
      <c r="M112" s="31">
        <v>1711899577.7197599</v>
      </c>
      <c r="N112" s="31">
        <v>212288366.398101</v>
      </c>
      <c r="O112" s="27">
        <v>0.94285714285714195</v>
      </c>
      <c r="P112" t="str">
        <f>TEXT(H112,"MM/DD")&amp;" "&amp;I112&amp;" ["&amp;TEXT(C112,"0")&amp;"] (dis： "&amp;TEXT(D112,"0")&amp;"，"&amp;TEXT(E112,"0.00%")&amp;" ) (vol_wei_pr："&amp;TEXT(O112,"0.00%")&amp;")"</f>
        <v>10/16 max [27733] (dis： -639，-2.25% ) (vol_wei_pr：94.29%)</v>
      </c>
    </row>
    <row r="113" spans="1:16" ht="17.25" thickBot="1" x14ac:dyDescent="0.3">
      <c r="A113" t="s">
        <v>209</v>
      </c>
      <c r="B113" t="s">
        <v>210</v>
      </c>
      <c r="C113" s="46">
        <v>27725.83</v>
      </c>
      <c r="D113" s="46">
        <v>-646.14999999999702</v>
      </c>
      <c r="E113" s="4">
        <v>-2.2774230067834401E-2</v>
      </c>
      <c r="F113" s="6">
        <v>15</v>
      </c>
      <c r="G113" s="10" t="s">
        <v>304</v>
      </c>
      <c r="H113" s="11">
        <v>45952</v>
      </c>
      <c r="I113" s="6" t="s">
        <v>17</v>
      </c>
      <c r="J113" s="8">
        <v>7835590935</v>
      </c>
      <c r="K113" s="8">
        <v>422054951.39012903</v>
      </c>
      <c r="L113" s="4">
        <v>0.946938775510204</v>
      </c>
      <c r="M113" s="8">
        <v>1705319525.5555601</v>
      </c>
      <c r="N113" s="8">
        <v>219546898.47248399</v>
      </c>
      <c r="O113" s="4">
        <v>0.946938775510204</v>
      </c>
      <c r="P113" t="str">
        <f>TEXT(H113,"MM/DD")&amp;" "&amp;I113&amp;" ["&amp;TEXT(C113,"0")&amp;"] (dis： "&amp;TEXT(D113,"0")&amp;"，"&amp;TEXT(E113,"0.00%")&amp;" ) (vol_wei_pr："&amp;TEXT(O113,"0.00%")&amp;")"</f>
        <v>10/22 max [27726] (dis： -646，-2.28% ) (vol_wei_pr：94.69%)</v>
      </c>
    </row>
    <row r="114" spans="1:16" x14ac:dyDescent="0.25">
      <c r="A114" t="s">
        <v>209</v>
      </c>
      <c r="B114" t="s">
        <v>210</v>
      </c>
      <c r="C114" s="47">
        <v>27723.77</v>
      </c>
      <c r="D114" s="51">
        <v>-648.20999999999901</v>
      </c>
      <c r="E114" s="15">
        <v>-2.2846836914448599E-2</v>
      </c>
      <c r="F114" s="16">
        <v>16</v>
      </c>
      <c r="G114" s="17" t="s">
        <v>305</v>
      </c>
      <c r="H114" s="18">
        <v>45978</v>
      </c>
      <c r="I114" s="16" t="s">
        <v>17</v>
      </c>
      <c r="J114" s="19">
        <v>8604107358</v>
      </c>
      <c r="K114" s="19">
        <v>453177382.69303</v>
      </c>
      <c r="L114" s="15">
        <v>0.97142857142857097</v>
      </c>
      <c r="M114" s="19">
        <v>3375322904.84161</v>
      </c>
      <c r="N114" s="19">
        <v>231755980.81655401</v>
      </c>
      <c r="O114" s="20">
        <v>0.97551020408163203</v>
      </c>
      <c r="P114" t="str">
        <f>TEXT(H114,"MM/DD")&amp;" "&amp;I114&amp;" ["&amp;TEXT(C114,"0")&amp;"] (dis： "&amp;TEXT(D114,"0")&amp;"，"&amp;TEXT(E114,"0.00%")&amp;" ) (vol_wei_pr："&amp;TEXT(O114,"0.00%")&amp;")"</f>
        <v>11/17 max [27724] (dis： -648，-2.28% ) (vol_wei_pr：97.55%)</v>
      </c>
    </row>
    <row r="115" spans="1:16" x14ac:dyDescent="0.25">
      <c r="A115" t="s">
        <v>209</v>
      </c>
      <c r="B115" t="s">
        <v>210</v>
      </c>
      <c r="C115" s="49">
        <v>27721.1</v>
      </c>
      <c r="D115" s="53">
        <v>-650.88000000000102</v>
      </c>
      <c r="E115" s="27">
        <v>-2.29409438467107E-2</v>
      </c>
      <c r="F115" s="28">
        <v>16</v>
      </c>
      <c r="G115" s="29" t="s">
        <v>306</v>
      </c>
      <c r="H115" s="30">
        <v>46007</v>
      </c>
      <c r="I115" s="28" t="s">
        <v>22</v>
      </c>
      <c r="J115" s="31">
        <v>9586999810</v>
      </c>
      <c r="K115" s="31">
        <v>453177382.69303</v>
      </c>
      <c r="L115" s="27">
        <v>0.97142857142857097</v>
      </c>
      <c r="M115" s="31">
        <v>7787063569.5392704</v>
      </c>
      <c r="N115" s="31">
        <v>231755980.81655401</v>
      </c>
      <c r="O115" s="32">
        <v>0.97551020408163203</v>
      </c>
      <c r="P115" t="str">
        <f>TEXT(H115,"MM/DD")&amp;" "&amp;I115&amp;" ["&amp;TEXT(C115,"0")&amp;"] (dis： "&amp;TEXT(D115,"0")&amp;"，"&amp;TEXT(E115,"0.00%")&amp;" ) (vol_wei_pr："&amp;TEXT(O115,"0.00%")&amp;")"</f>
        <v>12/16 open [27721] (dis： -651，-2.29% ) (vol_wei_pr：97.55%)</v>
      </c>
    </row>
    <row r="116" spans="1:16" ht="17.25" thickBot="1" x14ac:dyDescent="0.3">
      <c r="A116" t="s">
        <v>209</v>
      </c>
      <c r="B116" t="s">
        <v>210</v>
      </c>
      <c r="C116" s="48">
        <v>27717.06</v>
      </c>
      <c r="D116" s="52">
        <v>-654.91999999999803</v>
      </c>
      <c r="E116" s="21">
        <v>-2.3083337856575299E-2</v>
      </c>
      <c r="F116" s="22">
        <v>16</v>
      </c>
      <c r="G116" s="23" t="s">
        <v>307</v>
      </c>
      <c r="H116" s="24">
        <v>45966</v>
      </c>
      <c r="I116" s="22" t="s">
        <v>20</v>
      </c>
      <c r="J116" s="25">
        <v>8989778518</v>
      </c>
      <c r="K116" s="25">
        <v>453177382.69303</v>
      </c>
      <c r="L116" s="21">
        <v>0.97142857142857097</v>
      </c>
      <c r="M116" s="25">
        <v>2672677143.9760499</v>
      </c>
      <c r="N116" s="25">
        <v>231755980.81655401</v>
      </c>
      <c r="O116" s="26">
        <v>0.97551020408163203</v>
      </c>
      <c r="P116" t="str">
        <f>TEXT(H116,"MM/DD")&amp;" "&amp;I116&amp;" ["&amp;TEXT(C116,"0")&amp;"] (dis： "&amp;TEXT(D116,"0")&amp;"，"&amp;TEXT(E116,"0.00%")&amp;" ) (vol_wei_pr："&amp;TEXT(O116,"0.00%")&amp;")"</f>
        <v>11/05 close [27717] (dis： -655，-2.31% ) (vol_wei_pr：97.55%)</v>
      </c>
    </row>
    <row r="117" spans="1:16" x14ac:dyDescent="0.25">
      <c r="A117" t="s">
        <v>209</v>
      </c>
      <c r="B117" t="s">
        <v>210</v>
      </c>
      <c r="C117" s="47">
        <v>27697.06</v>
      </c>
      <c r="D117" s="51">
        <v>-674.91999999999803</v>
      </c>
      <c r="E117" s="15">
        <v>-2.37882586974895E-2</v>
      </c>
      <c r="F117" s="16">
        <v>17</v>
      </c>
      <c r="G117" s="17" t="s">
        <v>308</v>
      </c>
      <c r="H117" s="18">
        <v>45992</v>
      </c>
      <c r="I117" s="16" t="s">
        <v>17</v>
      </c>
      <c r="J117" s="19">
        <v>7418235597</v>
      </c>
      <c r="K117" s="19">
        <v>474101523.37788099</v>
      </c>
      <c r="L117" s="15">
        <v>0.99183673469387701</v>
      </c>
      <c r="M117" s="19">
        <v>4115523877.5190902</v>
      </c>
      <c r="N117" s="19">
        <v>243364374.683135</v>
      </c>
      <c r="O117" s="20">
        <v>0.99183673469387701</v>
      </c>
      <c r="P117" t="str">
        <f>TEXT(H117,"MM/DD")&amp;" "&amp;I117&amp;" ["&amp;TEXT(C117,"0")&amp;"] (dis： "&amp;TEXT(D117,"0")&amp;"，"&amp;TEXT(E117,"0.00%")&amp;" ) (vol_wei_pr："&amp;TEXT(O117,"0.00%")&amp;")"</f>
        <v>12/01 max [27697] (dis： -675，-2.38% ) (vol_wei_pr：99.18%)</v>
      </c>
    </row>
    <row r="118" spans="1:16" x14ac:dyDescent="0.25">
      <c r="A118" t="s">
        <v>209</v>
      </c>
      <c r="B118" t="s">
        <v>210</v>
      </c>
      <c r="C118" s="61">
        <v>27696.35</v>
      </c>
      <c r="D118" s="57">
        <v>-675.63000000000102</v>
      </c>
      <c r="E118" s="27">
        <v>-2.3813283387342E-2</v>
      </c>
      <c r="F118" s="28">
        <v>17</v>
      </c>
      <c r="G118" s="29" t="s">
        <v>309</v>
      </c>
      <c r="H118" s="30">
        <v>46010</v>
      </c>
      <c r="I118" s="28" t="s">
        <v>20</v>
      </c>
      <c r="J118" s="31">
        <v>9145168124</v>
      </c>
      <c r="K118" s="31">
        <v>474101523.37788099</v>
      </c>
      <c r="L118" s="27">
        <v>0.99183673469387701</v>
      </c>
      <c r="M118" s="31">
        <v>8242087002.4088097</v>
      </c>
      <c r="N118" s="31">
        <v>243364374.683135</v>
      </c>
      <c r="O118" s="32">
        <v>0.99183673469387701</v>
      </c>
      <c r="P118" t="str">
        <f>TEXT(H118,"MM/DD")&amp;" "&amp;I118&amp;" ["&amp;TEXT(C118,"0")&amp;"] (dis： "&amp;TEXT(D118,"0")&amp;"，"&amp;TEXT(E118,"0.00%")&amp;" ) (vol_wei_pr："&amp;TEXT(O118,"0.00%")&amp;")"</f>
        <v>12/19 close [27696] (dis： -676，-2.38% ) (vol_wei_pr：99.18%)</v>
      </c>
    </row>
    <row r="119" spans="1:16" x14ac:dyDescent="0.25">
      <c r="A119" t="s">
        <v>209</v>
      </c>
      <c r="B119" t="s">
        <v>210</v>
      </c>
      <c r="C119" s="49">
        <v>27688.63</v>
      </c>
      <c r="D119" s="53">
        <v>-683.34999999999798</v>
      </c>
      <c r="E119" s="27">
        <v>-2.4085382831934801E-2</v>
      </c>
      <c r="F119" s="28">
        <v>17</v>
      </c>
      <c r="G119" s="29" t="s">
        <v>309</v>
      </c>
      <c r="H119" s="30">
        <v>45950</v>
      </c>
      <c r="I119" s="28" t="s">
        <v>20</v>
      </c>
      <c r="J119" s="31">
        <v>8045886081</v>
      </c>
      <c r="K119" s="31">
        <v>474101523.37788099</v>
      </c>
      <c r="L119" s="27">
        <v>0.99183673469387701</v>
      </c>
      <c r="M119" s="31">
        <v>1633822562.5253799</v>
      </c>
      <c r="N119" s="31">
        <v>243364374.683135</v>
      </c>
      <c r="O119" s="32">
        <v>0.99183673469387701</v>
      </c>
      <c r="P119" t="str">
        <f>TEXT(H119,"MM/DD")&amp;" "&amp;I119&amp;" ["&amp;TEXT(C119,"0")&amp;"] (dis： "&amp;TEXT(D119,"0")&amp;"，"&amp;TEXT(E119,"0.00%")&amp;" ) (vol_wei_pr："&amp;TEXT(O119,"0.00%")&amp;")"</f>
        <v>10/20 close [27689] (dis： -683，-2.41% ) (vol_wei_pr：99.18%)</v>
      </c>
    </row>
    <row r="120" spans="1:16" x14ac:dyDescent="0.25">
      <c r="A120" t="s">
        <v>209</v>
      </c>
      <c r="B120" t="s">
        <v>210</v>
      </c>
      <c r="C120" s="49">
        <v>27685.74</v>
      </c>
      <c r="D120" s="53">
        <v>-686.23999999999796</v>
      </c>
      <c r="E120" s="27">
        <v>-2.41872438934469E-2</v>
      </c>
      <c r="F120" s="28">
        <v>17</v>
      </c>
      <c r="G120" s="29" t="s">
        <v>310</v>
      </c>
      <c r="H120" s="30">
        <v>46010</v>
      </c>
      <c r="I120" s="28" t="s">
        <v>22</v>
      </c>
      <c r="J120" s="31">
        <v>9145168124</v>
      </c>
      <c r="K120" s="31">
        <v>474101523.37788099</v>
      </c>
      <c r="L120" s="27">
        <v>0.99183673469387701</v>
      </c>
      <c r="M120" s="31">
        <v>8242087002.4088097</v>
      </c>
      <c r="N120" s="31">
        <v>243364374.683135</v>
      </c>
      <c r="O120" s="32">
        <v>0.99183673469387701</v>
      </c>
      <c r="P120" t="str">
        <f>TEXT(H120,"MM/DD")&amp;" "&amp;I120&amp;" ["&amp;TEXT(C120,"0")&amp;"] (dis： "&amp;TEXT(D120,"0")&amp;"，"&amp;TEXT(E120,"0.00%")&amp;" ) (vol_wei_pr："&amp;TEXT(O120,"0.00%")&amp;")"</f>
        <v>12/19 open [27686] (dis： -686，-2.42% ) (vol_wei_pr：99.18%)</v>
      </c>
    </row>
    <row r="121" spans="1:16" ht="17.25" thickBot="1" x14ac:dyDescent="0.3">
      <c r="A121" t="s">
        <v>209</v>
      </c>
      <c r="B121" t="s">
        <v>210</v>
      </c>
      <c r="C121" s="48">
        <v>27684.87</v>
      </c>
      <c r="D121" s="52">
        <v>-687.11</v>
      </c>
      <c r="E121" s="21">
        <v>-2.42179079500267E-2</v>
      </c>
      <c r="F121" s="22">
        <v>17</v>
      </c>
      <c r="G121" s="23" t="s">
        <v>311</v>
      </c>
      <c r="H121" s="24">
        <v>46006</v>
      </c>
      <c r="I121" s="22" t="s">
        <v>29</v>
      </c>
      <c r="J121" s="25">
        <v>7855274707</v>
      </c>
      <c r="K121" s="25">
        <v>474101523.37788099</v>
      </c>
      <c r="L121" s="21">
        <v>0.99183673469387701</v>
      </c>
      <c r="M121" s="25">
        <v>6163123619.7227497</v>
      </c>
      <c r="N121" s="25">
        <v>243364374.683135</v>
      </c>
      <c r="O121" s="26">
        <v>0.99183673469387701</v>
      </c>
      <c r="P121" t="str">
        <f>TEXT(H121,"MM/DD")&amp;" "&amp;I121&amp;" ["&amp;TEXT(C121,"0")&amp;"] (dis： "&amp;TEXT(D121,"0")&amp;"，"&amp;TEXT(E121,"0.00%")&amp;" ) (vol_wei_pr："&amp;TEXT(O121,"0.00%")&amp;")"</f>
        <v>12/15 min [27685] (dis： -687，-2.42% ) (vol_wei_pr：99.18%)</v>
      </c>
    </row>
    <row r="122" spans="1:16" ht="17.25" thickBot="1" x14ac:dyDescent="0.3">
      <c r="A122" t="s">
        <v>209</v>
      </c>
      <c r="B122" t="s">
        <v>210</v>
      </c>
      <c r="C122" s="57">
        <v>27680.51</v>
      </c>
      <c r="D122" s="57">
        <v>-691.47000000000105</v>
      </c>
      <c r="E122" s="27">
        <v>-2.4371580693345999E-2</v>
      </c>
      <c r="F122" s="28">
        <v>16</v>
      </c>
      <c r="G122" s="29" t="s">
        <v>312</v>
      </c>
      <c r="H122" s="30">
        <v>45971</v>
      </c>
      <c r="I122" s="28" t="s">
        <v>29</v>
      </c>
      <c r="J122" s="31">
        <v>7491028505</v>
      </c>
      <c r="K122" s="31">
        <v>456040098.961896</v>
      </c>
      <c r="L122" s="27">
        <v>0.97959183673469297</v>
      </c>
      <c r="M122" s="31">
        <v>2471117843.04318</v>
      </c>
      <c r="N122" s="31">
        <v>229193668.30098999</v>
      </c>
      <c r="O122" s="27">
        <v>0.96734693877551003</v>
      </c>
      <c r="P122" t="str">
        <f>TEXT(H122,"MM/DD")&amp;" "&amp;I122&amp;" ["&amp;TEXT(C122,"0")&amp;"] (dis： "&amp;TEXT(D122,"0")&amp;"，"&amp;TEXT(E122,"0.00%")&amp;" ) (vol_wei_pr："&amp;TEXT(O122,"0.00%")&amp;")"</f>
        <v>11/10 min [27681] (dis： -691，-2.44% ) (vol_wei_pr：96.73%)</v>
      </c>
    </row>
    <row r="123" spans="1:16" x14ac:dyDescent="0.25">
      <c r="A123" t="s">
        <v>209</v>
      </c>
      <c r="B123" t="s">
        <v>210</v>
      </c>
      <c r="C123" s="47">
        <v>27674.16</v>
      </c>
      <c r="D123" s="51">
        <v>-697.81999999999903</v>
      </c>
      <c r="E123" s="15">
        <v>-2.4595393060336201E-2</v>
      </c>
      <c r="F123" s="16">
        <v>15</v>
      </c>
      <c r="G123" s="17" t="s">
        <v>313</v>
      </c>
      <c r="H123" s="18">
        <v>45992</v>
      </c>
      <c r="I123" s="16" t="s">
        <v>22</v>
      </c>
      <c r="J123" s="19">
        <v>7418235597</v>
      </c>
      <c r="K123" s="19">
        <v>430765017.967902</v>
      </c>
      <c r="L123" s="15">
        <v>0.95306122448979502</v>
      </c>
      <c r="M123" s="19">
        <v>4115523877.5190902</v>
      </c>
      <c r="N123" s="19">
        <v>220856000.97173899</v>
      </c>
      <c r="O123" s="20">
        <v>0.95306122448979502</v>
      </c>
      <c r="P123" t="str">
        <f>TEXT(H123,"MM/DD")&amp;" "&amp;I123&amp;" ["&amp;TEXT(C123,"0")&amp;"] (dis： "&amp;TEXT(D123,"0")&amp;"，"&amp;TEXT(E123,"0.00%")&amp;" ) (vol_wei_pr："&amp;TEXT(O123,"0.00%")&amp;")"</f>
        <v>12/01 open [27674] (dis： -698，-2.46% ) (vol_wei_pr：95.31%)</v>
      </c>
    </row>
    <row r="124" spans="1:16" ht="17.25" thickBot="1" x14ac:dyDescent="0.3">
      <c r="A124" t="s">
        <v>209</v>
      </c>
      <c r="B124" t="s">
        <v>210</v>
      </c>
      <c r="C124" s="48">
        <v>27672.05</v>
      </c>
      <c r="D124" s="52">
        <v>-699.93</v>
      </c>
      <c r="E124" s="21">
        <v>-2.46697622090527E-2</v>
      </c>
      <c r="F124" s="22">
        <v>15</v>
      </c>
      <c r="G124" s="23" t="s">
        <v>314</v>
      </c>
      <c r="H124" s="24">
        <v>46010</v>
      </c>
      <c r="I124" s="22" t="s">
        <v>29</v>
      </c>
      <c r="J124" s="25">
        <v>9145168124</v>
      </c>
      <c r="K124" s="25">
        <v>430765017.967902</v>
      </c>
      <c r="L124" s="21">
        <v>0.95306122448979502</v>
      </c>
      <c r="M124" s="25">
        <v>8242087002.4088097</v>
      </c>
      <c r="N124" s="25">
        <v>220856000.97173899</v>
      </c>
      <c r="O124" s="26">
        <v>0.95306122448979502</v>
      </c>
      <c r="P124" t="str">
        <f>TEXT(H124,"MM/DD")&amp;" "&amp;I124&amp;" ["&amp;TEXT(C124,"0")&amp;"] (dis： "&amp;TEXT(D124,"0")&amp;"，"&amp;TEXT(E124,"0.00%")&amp;" ) (vol_wei_pr："&amp;TEXT(O124,"0.00%")&amp;")"</f>
        <v>12/19 min [27672] (dis： -700，-2.47% ) (vol_wei_pr：95.31%)</v>
      </c>
    </row>
    <row r="125" spans="1:16" x14ac:dyDescent="0.25">
      <c r="A125" t="s">
        <v>209</v>
      </c>
      <c r="B125" t="s">
        <v>210</v>
      </c>
      <c r="C125" s="47">
        <v>27659.06</v>
      </c>
      <c r="D125" s="51">
        <v>-712.91999999999803</v>
      </c>
      <c r="E125" s="15">
        <v>-2.5127608295226402E-2</v>
      </c>
      <c r="F125" s="16">
        <v>15</v>
      </c>
      <c r="G125" s="17" t="s">
        <v>315</v>
      </c>
      <c r="H125" s="18">
        <v>45988</v>
      </c>
      <c r="I125" s="16" t="s">
        <v>17</v>
      </c>
      <c r="J125" s="19">
        <v>7539156843</v>
      </c>
      <c r="K125" s="19">
        <v>418402651.11982101</v>
      </c>
      <c r="L125" s="15">
        <v>0.93061224489795902</v>
      </c>
      <c r="M125" s="19">
        <v>3902512317.4482899</v>
      </c>
      <c r="N125" s="19">
        <v>196714204.12536299</v>
      </c>
      <c r="O125" s="20">
        <v>0.86122448979591804</v>
      </c>
      <c r="P125" t="str">
        <f>TEXT(H125,"MM/DD")&amp;" "&amp;I125&amp;" ["&amp;TEXT(C125,"0")&amp;"] (dis： "&amp;TEXT(D125,"0")&amp;"，"&amp;TEXT(E125,"0.00%")&amp;" ) (vol_wei_pr："&amp;TEXT(O125,"0.00%")&amp;")"</f>
        <v>11/27 max [27659] (dis： -713，-2.51% ) (vol_wei_pr：86.12%)</v>
      </c>
    </row>
    <row r="126" spans="1:16" x14ac:dyDescent="0.25">
      <c r="A126" t="s">
        <v>209</v>
      </c>
      <c r="B126" t="s">
        <v>210</v>
      </c>
      <c r="C126" s="49">
        <v>27651.41</v>
      </c>
      <c r="D126" s="53">
        <v>-720.56999999999903</v>
      </c>
      <c r="E126" s="27">
        <v>-2.5397240516876099E-2</v>
      </c>
      <c r="F126" s="28">
        <v>15</v>
      </c>
      <c r="G126" s="29" t="s">
        <v>316</v>
      </c>
      <c r="H126" s="30">
        <v>45968</v>
      </c>
      <c r="I126" s="28" t="s">
        <v>20</v>
      </c>
      <c r="J126" s="31">
        <v>7878592276</v>
      </c>
      <c r="K126" s="31">
        <v>418402651.11982101</v>
      </c>
      <c r="L126" s="27">
        <v>0.93061224489795902</v>
      </c>
      <c r="M126" s="31">
        <v>2510435878.4228101</v>
      </c>
      <c r="N126" s="31">
        <v>196714204.12536299</v>
      </c>
      <c r="O126" s="32">
        <v>0.86122448979591804</v>
      </c>
      <c r="P126" t="str">
        <f>TEXT(H126,"MM/DD")&amp;" "&amp;I126&amp;" ["&amp;TEXT(C126,"0")&amp;"] (dis： "&amp;TEXT(D126,"0")&amp;"，"&amp;TEXT(E126,"0.00%")&amp;" ) (vol_wei_pr："&amp;TEXT(O126,"0.00%")&amp;")"</f>
        <v>11/07 close [27651] (dis： -721，-2.54% ) (vol_wei_pr：86.12%)</v>
      </c>
    </row>
    <row r="127" spans="1:16" x14ac:dyDescent="0.25">
      <c r="A127" t="s">
        <v>209</v>
      </c>
      <c r="B127" t="s">
        <v>210</v>
      </c>
      <c r="C127" s="49">
        <v>27648.91</v>
      </c>
      <c r="D127" s="53">
        <v>-723.06999999999903</v>
      </c>
      <c r="E127" s="27">
        <v>-2.5485355621990401E-2</v>
      </c>
      <c r="F127" s="28">
        <v>15</v>
      </c>
      <c r="G127" s="29" t="s">
        <v>316</v>
      </c>
      <c r="H127" s="30">
        <v>45952</v>
      </c>
      <c r="I127" s="28" t="s">
        <v>20</v>
      </c>
      <c r="J127" s="31">
        <v>7835590935</v>
      </c>
      <c r="K127" s="31">
        <v>418402651.11982101</v>
      </c>
      <c r="L127" s="27">
        <v>0.93061224489795902</v>
      </c>
      <c r="M127" s="31">
        <v>1705319525.5555601</v>
      </c>
      <c r="N127" s="31">
        <v>196714204.12536299</v>
      </c>
      <c r="O127" s="32">
        <v>0.86122448979591804</v>
      </c>
      <c r="P127" t="str">
        <f>TEXT(H127,"MM/DD")&amp;" "&amp;I127&amp;" ["&amp;TEXT(C127,"0")&amp;"] (dis： "&amp;TEXT(D127,"0")&amp;"，"&amp;TEXT(E127,"0.00%")&amp;" ) (vol_wei_pr："&amp;TEXT(O127,"0.00%")&amp;")"</f>
        <v>10/22 close [27649] (dis： -723，-2.55% ) (vol_wei_pr：86.12%)</v>
      </c>
    </row>
    <row r="128" spans="1:16" x14ac:dyDescent="0.25">
      <c r="A128" t="s">
        <v>209</v>
      </c>
      <c r="B128" t="s">
        <v>210</v>
      </c>
      <c r="C128" s="49">
        <v>27647.87</v>
      </c>
      <c r="D128" s="53">
        <v>-724.11</v>
      </c>
      <c r="E128" s="27">
        <v>-2.5522011505717899E-2</v>
      </c>
      <c r="F128" s="28">
        <v>15</v>
      </c>
      <c r="G128" s="29" t="s">
        <v>316</v>
      </c>
      <c r="H128" s="30">
        <v>45946</v>
      </c>
      <c r="I128" s="28" t="s">
        <v>20</v>
      </c>
      <c r="J128" s="31">
        <v>9035460141</v>
      </c>
      <c r="K128" s="31">
        <v>418402651.11982101</v>
      </c>
      <c r="L128" s="27">
        <v>0.93061224489795902</v>
      </c>
      <c r="M128" s="31">
        <v>1711899577.7197599</v>
      </c>
      <c r="N128" s="31">
        <v>196714204.12536299</v>
      </c>
      <c r="O128" s="32">
        <v>0.86122448979591804</v>
      </c>
      <c r="P128" t="str">
        <f>TEXT(H128,"MM/DD")&amp;" "&amp;I128&amp;" ["&amp;TEXT(C128,"0")&amp;"] (dis： "&amp;TEXT(D128,"0")&amp;"，"&amp;TEXT(E128,"0.00%")&amp;" ) (vol_wei_pr："&amp;TEXT(O128,"0.00%")&amp;")"</f>
        <v>10/16 close [27648] (dis： -724，-2.55% ) (vol_wei_pr：86.12%)</v>
      </c>
    </row>
    <row r="129" spans="1:16" ht="17.25" thickBot="1" x14ac:dyDescent="0.3">
      <c r="A129" t="s">
        <v>209</v>
      </c>
      <c r="B129" t="s">
        <v>210</v>
      </c>
      <c r="C129" s="63">
        <v>27636.63</v>
      </c>
      <c r="D129" s="58">
        <v>-735.34999999999798</v>
      </c>
      <c r="E129" s="21">
        <v>-2.5918177018311599E-2</v>
      </c>
      <c r="F129" s="22">
        <v>15</v>
      </c>
      <c r="G129" s="23" t="s">
        <v>317</v>
      </c>
      <c r="H129" s="24">
        <v>45995</v>
      </c>
      <c r="I129" s="22" t="s">
        <v>29</v>
      </c>
      <c r="J129" s="25">
        <v>6475222009</v>
      </c>
      <c r="K129" s="25">
        <v>418402651.11982101</v>
      </c>
      <c r="L129" s="21">
        <v>0.93061224489795902</v>
      </c>
      <c r="M129" s="25">
        <v>3985966700.7741899</v>
      </c>
      <c r="N129" s="25">
        <v>196714204.12536299</v>
      </c>
      <c r="O129" s="26">
        <v>0.86122448979591804</v>
      </c>
      <c r="P129" t="str">
        <f>TEXT(H129,"MM/DD")&amp;" "&amp;I129&amp;" ["&amp;TEXT(C129,"0")&amp;"] (dis： "&amp;TEXT(D129,"0")&amp;"，"&amp;TEXT(E129,"0.00%")&amp;" ) (vol_wei_pr："&amp;TEXT(O129,"0.00%")&amp;")"</f>
        <v>12/04 min [27637] (dis： -735，-2.59% ) (vol_wei_pr：86.12%)</v>
      </c>
    </row>
    <row r="130" spans="1:16" x14ac:dyDescent="0.25">
      <c r="A130" t="s">
        <v>209</v>
      </c>
      <c r="B130" t="s">
        <v>210</v>
      </c>
      <c r="C130" s="47">
        <v>27626.48</v>
      </c>
      <c r="D130" s="51">
        <v>-745.5</v>
      </c>
      <c r="E130" s="15">
        <v>-2.6275924345075599E-2</v>
      </c>
      <c r="F130" s="16">
        <v>14</v>
      </c>
      <c r="G130" s="17" t="s">
        <v>318</v>
      </c>
      <c r="H130" s="18">
        <v>45989</v>
      </c>
      <c r="I130" s="16" t="s">
        <v>20</v>
      </c>
      <c r="J130" s="19">
        <v>7671742311</v>
      </c>
      <c r="K130" s="19">
        <v>391821279.98271102</v>
      </c>
      <c r="L130" s="15">
        <v>0.86326530612244901</v>
      </c>
      <c r="M130" s="19">
        <v>4111184910.1733198</v>
      </c>
      <c r="N130" s="19">
        <v>180351450.83811301</v>
      </c>
      <c r="O130" s="20">
        <v>0.77755102040816304</v>
      </c>
      <c r="P130" t="str">
        <f>TEXT(H130,"MM/DD")&amp;" "&amp;I130&amp;" ["&amp;TEXT(C130,"0")&amp;"] (dis： "&amp;TEXT(D130,"0")&amp;"，"&amp;TEXT(E130,"0.00%")&amp;" ) (vol_wei_pr："&amp;TEXT(O130,"0.00%")&amp;")"</f>
        <v>11/28 close [27626] (dis： -746，-2.63% ) (vol_wei_pr：77.76%)</v>
      </c>
    </row>
    <row r="131" spans="1:16" ht="17.25" thickBot="1" x14ac:dyDescent="0.3">
      <c r="A131" t="s">
        <v>209</v>
      </c>
      <c r="B131" t="s">
        <v>210</v>
      </c>
      <c r="C131" s="48">
        <v>27621.48</v>
      </c>
      <c r="D131" s="52">
        <v>-750.5</v>
      </c>
      <c r="E131" s="21">
        <v>-2.64521545553042E-2</v>
      </c>
      <c r="F131" s="22">
        <v>14</v>
      </c>
      <c r="G131" s="23" t="s">
        <v>319</v>
      </c>
      <c r="H131" s="24">
        <v>45968</v>
      </c>
      <c r="I131" s="22" t="s">
        <v>29</v>
      </c>
      <c r="J131" s="25">
        <v>7878592276</v>
      </c>
      <c r="K131" s="25">
        <v>391821279.98271102</v>
      </c>
      <c r="L131" s="21">
        <v>0.86326530612244901</v>
      </c>
      <c r="M131" s="25">
        <v>2510435878.4228101</v>
      </c>
      <c r="N131" s="25">
        <v>180351450.83811301</v>
      </c>
      <c r="O131" s="26">
        <v>0.77755102040816304</v>
      </c>
      <c r="P131" t="str">
        <f>TEXT(H131,"MM/DD")&amp;" "&amp;I131&amp;" ["&amp;TEXT(C131,"0")&amp;"] (dis： "&amp;TEXT(D131,"0")&amp;"，"&amp;TEXT(E131,"0.00%")&amp;" ) (vol_wei_pr："&amp;TEXT(O131,"0.00%")&amp;")"</f>
        <v>11/07 min [27621] (dis： -751，-2.65% ) (vol_wei_pr：77.76%)</v>
      </c>
    </row>
    <row r="132" spans="1:16" x14ac:dyDescent="0.25">
      <c r="A132" t="s">
        <v>209</v>
      </c>
      <c r="B132" t="s">
        <v>210</v>
      </c>
      <c r="C132" s="47">
        <v>27614.11</v>
      </c>
      <c r="D132" s="51">
        <v>-757.86999999999898</v>
      </c>
      <c r="E132" s="15">
        <v>-2.6711917885181E-2</v>
      </c>
      <c r="F132" s="16">
        <v>13</v>
      </c>
      <c r="G132" s="17" t="s">
        <v>320</v>
      </c>
      <c r="H132" s="18">
        <v>45952</v>
      </c>
      <c r="I132" s="16" t="s">
        <v>22</v>
      </c>
      <c r="J132" s="19">
        <v>7835590935</v>
      </c>
      <c r="K132" s="19">
        <v>351840602.64586002</v>
      </c>
      <c r="L132" s="15">
        <v>0.74693877551020404</v>
      </c>
      <c r="M132" s="19">
        <v>1705319525.5555601</v>
      </c>
      <c r="N132" s="19">
        <v>167612001.541336</v>
      </c>
      <c r="O132" s="20">
        <v>0.67755102040816295</v>
      </c>
      <c r="P132" t="str">
        <f>TEXT(H132,"MM/DD")&amp;" "&amp;I132&amp;" ["&amp;TEXT(C132,"0")&amp;"] (dis： "&amp;TEXT(D132,"0")&amp;"，"&amp;TEXT(E132,"0.00%")&amp;" ) (vol_wei_pr："&amp;TEXT(O132,"0.00%")&amp;")"</f>
        <v>10/22 open [27614] (dis： -758，-2.67% ) (vol_wei_pr：67.76%)</v>
      </c>
    </row>
    <row r="133" spans="1:16" x14ac:dyDescent="0.25">
      <c r="A133" t="s">
        <v>209</v>
      </c>
      <c r="B133" t="s">
        <v>210</v>
      </c>
      <c r="C133" s="61">
        <v>27605.63</v>
      </c>
      <c r="D133" s="57">
        <v>-766.34999999999798</v>
      </c>
      <c r="E133" s="27">
        <v>-2.7010804321728601E-2</v>
      </c>
      <c r="F133" s="28">
        <v>13</v>
      </c>
      <c r="G133" s="29" t="s">
        <v>320</v>
      </c>
      <c r="H133" s="30">
        <v>45994</v>
      </c>
      <c r="I133" s="28" t="s">
        <v>22</v>
      </c>
      <c r="J133" s="31">
        <v>6838633055</v>
      </c>
      <c r="K133" s="31">
        <v>351840602.64586002</v>
      </c>
      <c r="L133" s="27">
        <v>0.74693877551020404</v>
      </c>
      <c r="M133" s="31">
        <v>4066275542.9493899</v>
      </c>
      <c r="N133" s="31">
        <v>167612001.541336</v>
      </c>
      <c r="O133" s="32">
        <v>0.67755102040816295</v>
      </c>
      <c r="P133" t="str">
        <f>TEXT(H133,"MM/DD")&amp;" "&amp;I133&amp;" ["&amp;TEXT(C133,"0")&amp;"] (dis： "&amp;TEXT(D133,"0")&amp;"，"&amp;TEXT(E133,"0.00%")&amp;" ) (vol_wei_pr："&amp;TEXT(O133,"0.00%")&amp;")"</f>
        <v>12/03 open [27606] (dis： -766，-2.70% ) (vol_wei_pr：67.76%)</v>
      </c>
    </row>
    <row r="134" spans="1:16" ht="17.25" thickBot="1" x14ac:dyDescent="0.3">
      <c r="A134" t="s">
        <v>209</v>
      </c>
      <c r="B134" t="s">
        <v>210</v>
      </c>
      <c r="C134" s="48">
        <v>27605.63</v>
      </c>
      <c r="D134" s="52">
        <v>-766.34999999999798</v>
      </c>
      <c r="E134" s="21">
        <v>-2.7010804321728601E-2</v>
      </c>
      <c r="F134" s="22">
        <v>13</v>
      </c>
      <c r="G134" s="23" t="s">
        <v>321</v>
      </c>
      <c r="H134" s="24">
        <v>45994</v>
      </c>
      <c r="I134" s="22" t="s">
        <v>29</v>
      </c>
      <c r="J134" s="25">
        <v>6838633055</v>
      </c>
      <c r="K134" s="25">
        <v>351840602.64586002</v>
      </c>
      <c r="L134" s="21">
        <v>0.74693877551020404</v>
      </c>
      <c r="M134" s="25">
        <v>4066275542.9493899</v>
      </c>
      <c r="N134" s="25">
        <v>167612001.541336</v>
      </c>
      <c r="O134" s="26">
        <v>0.67755102040816295</v>
      </c>
      <c r="P134" t="str">
        <f>TEXT(H134,"MM/DD")&amp;" "&amp;I134&amp;" ["&amp;TEXT(C134,"0")&amp;"] (dis： "&amp;TEXT(D134,"0")&amp;"，"&amp;TEXT(E134,"0.00%")&amp;" ) (vol_wei_pr："&amp;TEXT(O134,"0.00%")&amp;")"</f>
        <v>12/03 min [27606] (dis： -766，-2.70% ) (vol_wei_pr：67.76%)</v>
      </c>
    </row>
    <row r="135" spans="1:16" x14ac:dyDescent="0.25">
      <c r="A135" t="s">
        <v>209</v>
      </c>
      <c r="B135" t="s">
        <v>210</v>
      </c>
      <c r="C135" s="53">
        <v>27600.74</v>
      </c>
      <c r="D135" s="53">
        <v>-771.23999999999796</v>
      </c>
      <c r="E135" s="27">
        <v>-2.71831574673321E-2</v>
      </c>
      <c r="F135" s="28">
        <v>12</v>
      </c>
      <c r="G135" s="29" t="s">
        <v>322</v>
      </c>
      <c r="H135" s="30">
        <v>45978</v>
      </c>
      <c r="I135" s="28" t="s">
        <v>22</v>
      </c>
      <c r="J135" s="31">
        <v>8604107358</v>
      </c>
      <c r="K135" s="31">
        <v>323586458.475474</v>
      </c>
      <c r="L135" s="27">
        <v>0.59795918367346901</v>
      </c>
      <c r="M135" s="31">
        <v>3375322904.84161</v>
      </c>
      <c r="N135" s="31">
        <v>150811986.903469</v>
      </c>
      <c r="O135" s="27">
        <v>0.58571428571428497</v>
      </c>
      <c r="P135" t="str">
        <f>TEXT(H135,"MM/DD")&amp;" "&amp;I135&amp;" ["&amp;TEXT(C135,"0")&amp;"] (dis： "&amp;TEXT(D135,"0")&amp;"，"&amp;TEXT(E135,"0.00%")&amp;" ) (vol_wei_pr："&amp;TEXT(O135,"0.00%")&amp;")"</f>
        <v>11/17 open [27601] (dis： -771，-2.72% ) (vol_wei_pr：58.57%)</v>
      </c>
    </row>
    <row r="136" spans="1:16" x14ac:dyDescent="0.25">
      <c r="A136" t="s">
        <v>209</v>
      </c>
      <c r="B136" t="s">
        <v>210</v>
      </c>
      <c r="C136" s="53">
        <v>27596.18</v>
      </c>
      <c r="D136" s="53">
        <v>-775.79999999999905</v>
      </c>
      <c r="E136" s="27">
        <v>-2.73438794190606E-2</v>
      </c>
      <c r="F136" s="28">
        <v>12</v>
      </c>
      <c r="G136" s="29" t="s">
        <v>322</v>
      </c>
      <c r="H136" s="30">
        <v>46008</v>
      </c>
      <c r="I136" s="28" t="s">
        <v>22</v>
      </c>
      <c r="J136" s="31">
        <v>9020647323</v>
      </c>
      <c r="K136" s="31">
        <v>323586458.475474</v>
      </c>
      <c r="L136" s="27">
        <v>0.59795918367346901</v>
      </c>
      <c r="M136" s="31">
        <v>7585429997.17871</v>
      </c>
      <c r="N136" s="31">
        <v>150811986.903469</v>
      </c>
      <c r="O136" s="27">
        <v>0.58571428571428497</v>
      </c>
      <c r="P136" t="str">
        <f>TEXT(H136,"MM/DD")&amp;" "&amp;I136&amp;" ["&amp;TEXT(C136,"0")&amp;"] (dis： "&amp;TEXT(D136,"0")&amp;"，"&amp;TEXT(E136,"0.00%")&amp;" ) (vol_wei_pr："&amp;TEXT(O136,"0.00%")&amp;")"</f>
        <v>12/17 open [27596] (dis： -776，-2.73% ) (vol_wei_pr：58.57%)</v>
      </c>
    </row>
    <row r="137" spans="1:16" ht="17.25" thickBot="1" x14ac:dyDescent="0.3">
      <c r="A137" t="s">
        <v>209</v>
      </c>
      <c r="B137" t="s">
        <v>210</v>
      </c>
      <c r="C137" s="53">
        <v>27586.85</v>
      </c>
      <c r="D137" s="46">
        <v>-785.13000000000102</v>
      </c>
      <c r="E137" s="4">
        <v>-2.7672724991347101E-2</v>
      </c>
      <c r="F137" s="6">
        <v>13</v>
      </c>
      <c r="G137" s="10" t="s">
        <v>323</v>
      </c>
      <c r="H137" s="11">
        <v>45953</v>
      </c>
      <c r="I137" s="6" t="s">
        <v>17</v>
      </c>
      <c r="J137" s="8">
        <v>7318554768</v>
      </c>
      <c r="K137" s="8">
        <v>357597773.50475198</v>
      </c>
      <c r="L137" s="4">
        <v>0.76326530612244903</v>
      </c>
      <c r="M137" s="8">
        <v>1648962717.57567</v>
      </c>
      <c r="N137" s="8">
        <v>158475165.25450301</v>
      </c>
      <c r="O137" s="27">
        <v>0.62448979591836695</v>
      </c>
      <c r="P137" t="str">
        <f>TEXT(H137,"MM/DD")&amp;" "&amp;I137&amp;" ["&amp;TEXT(C137,"0")&amp;"] (dis： "&amp;TEXT(D137,"0")&amp;"，"&amp;TEXT(E137,"0.00%")&amp;" ) (vol_wei_pr："&amp;TEXT(O137,"0.00%")&amp;")"</f>
        <v>10/23 max [27587] (dis： -785，-2.77% ) (vol_wei_pr：62.45%)</v>
      </c>
    </row>
    <row r="138" spans="1:16" x14ac:dyDescent="0.25">
      <c r="A138" t="s">
        <v>209</v>
      </c>
      <c r="B138" t="s">
        <v>210</v>
      </c>
      <c r="C138" s="62">
        <v>27569.439999999999</v>
      </c>
      <c r="D138" s="54">
        <v>-802.54</v>
      </c>
      <c r="E138" s="15">
        <v>-2.8286358583362901E-2</v>
      </c>
      <c r="F138" s="16">
        <v>14</v>
      </c>
      <c r="G138" s="17" t="s">
        <v>324</v>
      </c>
      <c r="H138" s="18">
        <v>46009</v>
      </c>
      <c r="I138" s="16" t="s">
        <v>17</v>
      </c>
      <c r="J138" s="19">
        <v>8450315748</v>
      </c>
      <c r="K138" s="19">
        <v>396241921.06957603</v>
      </c>
      <c r="L138" s="15">
        <v>0.88163265306122396</v>
      </c>
      <c r="M138" s="19">
        <v>7356427134.4514999</v>
      </c>
      <c r="N138" s="19">
        <v>192116849.685159</v>
      </c>
      <c r="O138" s="20">
        <v>0.83673469387755095</v>
      </c>
      <c r="P138" t="str">
        <f>TEXT(H138,"MM/DD")&amp;" "&amp;I138&amp;" ["&amp;TEXT(C138,"0")&amp;"] (dis： "&amp;TEXT(D138,"0")&amp;"，"&amp;TEXT(E138,"0.00%")&amp;" ) (vol_wei_pr："&amp;TEXT(O138,"0.00%")&amp;")"</f>
        <v>12/18 max [27569] (dis： -803，-2.83% ) (vol_wei_pr：83.67%)</v>
      </c>
    </row>
    <row r="139" spans="1:16" x14ac:dyDescent="0.25">
      <c r="A139" t="s">
        <v>209</v>
      </c>
      <c r="B139" t="s">
        <v>210</v>
      </c>
      <c r="C139" s="49">
        <v>27566.12</v>
      </c>
      <c r="D139" s="53">
        <v>-805.86</v>
      </c>
      <c r="E139" s="27">
        <v>-2.8403375442954602E-2</v>
      </c>
      <c r="F139" s="28">
        <v>14</v>
      </c>
      <c r="G139" s="29" t="s">
        <v>325</v>
      </c>
      <c r="H139" s="30">
        <v>45989</v>
      </c>
      <c r="I139" s="28" t="s">
        <v>22</v>
      </c>
      <c r="J139" s="31">
        <v>7671742311</v>
      </c>
      <c r="K139" s="31">
        <v>396241921.06957603</v>
      </c>
      <c r="L139" s="27">
        <v>0.88163265306122396</v>
      </c>
      <c r="M139" s="31">
        <v>4111184910.1733198</v>
      </c>
      <c r="N139" s="31">
        <v>192116849.685159</v>
      </c>
      <c r="O139" s="32">
        <v>0.83673469387755095</v>
      </c>
      <c r="P139" t="str">
        <f>TEXT(H139,"MM/DD")&amp;" "&amp;I139&amp;" ["&amp;TEXT(C139,"0")&amp;"] (dis： "&amp;TEXT(D139,"0")&amp;"，"&amp;TEXT(E139,"0.00%")&amp;" ) (vol_wei_pr："&amp;TEXT(O139,"0.00%")&amp;")"</f>
        <v>11/28 open [27566] (dis： -806，-2.84% ) (vol_wei_pr：83.67%)</v>
      </c>
    </row>
    <row r="140" spans="1:16" ht="17.25" thickBot="1" x14ac:dyDescent="0.3">
      <c r="A140" t="s">
        <v>209</v>
      </c>
      <c r="B140" t="s">
        <v>210</v>
      </c>
      <c r="C140" s="48">
        <v>27566.12</v>
      </c>
      <c r="D140" s="52">
        <v>-805.86</v>
      </c>
      <c r="E140" s="21">
        <v>-2.8403375442954602E-2</v>
      </c>
      <c r="F140" s="22">
        <v>14</v>
      </c>
      <c r="G140" s="23" t="s">
        <v>326</v>
      </c>
      <c r="H140" s="24">
        <v>45989</v>
      </c>
      <c r="I140" s="22" t="s">
        <v>29</v>
      </c>
      <c r="J140" s="25">
        <v>7671742311</v>
      </c>
      <c r="K140" s="25">
        <v>396241921.06957603</v>
      </c>
      <c r="L140" s="21">
        <v>0.88163265306122396</v>
      </c>
      <c r="M140" s="25">
        <v>4111184910.1733198</v>
      </c>
      <c r="N140" s="25">
        <v>192116849.685159</v>
      </c>
      <c r="O140" s="26">
        <v>0.83673469387755095</v>
      </c>
      <c r="P140" t="str">
        <f>TEXT(H140,"MM/DD")&amp;" "&amp;I140&amp;" ["&amp;TEXT(C140,"0")&amp;"] (dis： "&amp;TEXT(D140,"0")&amp;"，"&amp;TEXT(E140,"0.00%")&amp;" ) (vol_wei_pr："&amp;TEXT(O140,"0.00%")&amp;")"</f>
        <v>11/28 min [27566] (dis： -806，-2.84% ) (vol_wei_pr：83.67%)</v>
      </c>
    </row>
    <row r="141" spans="1:16" x14ac:dyDescent="0.25">
      <c r="A141" t="s">
        <v>209</v>
      </c>
      <c r="B141" t="s">
        <v>210</v>
      </c>
      <c r="C141" s="47">
        <v>27564.27</v>
      </c>
      <c r="D141" s="51">
        <v>-807.70999999999901</v>
      </c>
      <c r="E141" s="15">
        <v>-2.8468580620739099E-2</v>
      </c>
      <c r="F141" s="16">
        <v>13</v>
      </c>
      <c r="G141" s="17" t="s">
        <v>327</v>
      </c>
      <c r="H141" s="18">
        <v>45993</v>
      </c>
      <c r="I141" s="16" t="s">
        <v>20</v>
      </c>
      <c r="J141" s="19">
        <v>7321099919</v>
      </c>
      <c r="K141" s="19">
        <v>362999255.71296</v>
      </c>
      <c r="L141" s="15">
        <v>0.79795918367346896</v>
      </c>
      <c r="M141" s="19">
        <v>4204867716.8621101</v>
      </c>
      <c r="N141" s="19">
        <v>174302546.408562</v>
      </c>
      <c r="O141" s="20">
        <v>0.71632653061224405</v>
      </c>
      <c r="P141" t="str">
        <f>TEXT(H141,"MM/DD")&amp;" "&amp;I141&amp;" ["&amp;TEXT(C141,"0")&amp;"] (dis： "&amp;TEXT(D141,"0")&amp;"，"&amp;TEXT(E141,"0.00%")&amp;" ) (vol_wei_pr："&amp;TEXT(O141,"0.00%")&amp;")"</f>
        <v>12/02 close [27564] (dis： -808，-2.85% ) (vol_wei_pr：71.63%)</v>
      </c>
    </row>
    <row r="142" spans="1:16" x14ac:dyDescent="0.25">
      <c r="A142" t="s">
        <v>209</v>
      </c>
      <c r="B142" t="s">
        <v>210</v>
      </c>
      <c r="C142" s="49">
        <v>27554.53</v>
      </c>
      <c r="D142" s="53">
        <v>-817.45</v>
      </c>
      <c r="E142" s="27">
        <v>-2.8811877070264402E-2</v>
      </c>
      <c r="F142" s="28">
        <v>13</v>
      </c>
      <c r="G142" s="29" t="s">
        <v>327</v>
      </c>
      <c r="H142" s="30">
        <v>45988</v>
      </c>
      <c r="I142" s="28" t="s">
        <v>20</v>
      </c>
      <c r="J142" s="31">
        <v>7539156843</v>
      </c>
      <c r="K142" s="31">
        <v>362999255.71296</v>
      </c>
      <c r="L142" s="27">
        <v>0.79795918367346896</v>
      </c>
      <c r="M142" s="31">
        <v>3902512317.4482899</v>
      </c>
      <c r="N142" s="31">
        <v>174302546.408562</v>
      </c>
      <c r="O142" s="32">
        <v>0.71632653061224405</v>
      </c>
      <c r="P142" t="str">
        <f>TEXT(H142,"MM/DD")&amp;" "&amp;I142&amp;" ["&amp;TEXT(C142,"0")&amp;"] (dis： "&amp;TEXT(D142,"0")&amp;"，"&amp;TEXT(E142,"0.00%")&amp;" ) (vol_wei_pr："&amp;TEXT(O142,"0.00%")&amp;")"</f>
        <v>11/27 close [27555] (dis： -817，-2.88% ) (vol_wei_pr：71.63%)</v>
      </c>
    </row>
    <row r="143" spans="1:16" x14ac:dyDescent="0.25">
      <c r="A143" t="s">
        <v>209</v>
      </c>
      <c r="B143" t="s">
        <v>210</v>
      </c>
      <c r="C143" s="49">
        <v>27550.35</v>
      </c>
      <c r="D143" s="53">
        <v>-821.63000000000102</v>
      </c>
      <c r="E143" s="27">
        <v>-2.89592055260154E-2</v>
      </c>
      <c r="F143" s="28">
        <v>13</v>
      </c>
      <c r="G143" s="29" t="s">
        <v>328</v>
      </c>
      <c r="H143" s="30">
        <v>45993</v>
      </c>
      <c r="I143" s="28" t="s">
        <v>22</v>
      </c>
      <c r="J143" s="31">
        <v>7321099919</v>
      </c>
      <c r="K143" s="31">
        <v>362999255.71296</v>
      </c>
      <c r="L143" s="27">
        <v>0.79795918367346896</v>
      </c>
      <c r="M143" s="31">
        <v>4204867716.8621101</v>
      </c>
      <c r="N143" s="31">
        <v>174302546.408562</v>
      </c>
      <c r="O143" s="32">
        <v>0.71632653061224405</v>
      </c>
      <c r="P143" t="str">
        <f>TEXT(H143,"MM/DD")&amp;" "&amp;I143&amp;" ["&amp;TEXT(C143,"0")&amp;"] (dis： "&amp;TEXT(D143,"0")&amp;"，"&amp;TEXT(E143,"0.00%")&amp;" ) (vol_wei_pr："&amp;TEXT(O143,"0.00%")&amp;")"</f>
        <v>12/02 open [27550] (dis： -822，-2.90% ) (vol_wei_pr：71.63%)</v>
      </c>
    </row>
    <row r="144" spans="1:16" x14ac:dyDescent="0.25">
      <c r="A144" t="s">
        <v>209</v>
      </c>
      <c r="B144" t="s">
        <v>210</v>
      </c>
      <c r="C144" s="49">
        <v>27536.66</v>
      </c>
      <c r="D144" s="53">
        <v>-835.31999999999903</v>
      </c>
      <c r="E144" s="27">
        <v>-2.9441723841621099E-2</v>
      </c>
      <c r="F144" s="28">
        <v>13</v>
      </c>
      <c r="G144" s="29" t="s">
        <v>327</v>
      </c>
      <c r="H144" s="30">
        <v>46007</v>
      </c>
      <c r="I144" s="28" t="s">
        <v>20</v>
      </c>
      <c r="J144" s="31">
        <v>9586999810</v>
      </c>
      <c r="K144" s="31">
        <v>362999255.71296</v>
      </c>
      <c r="L144" s="27">
        <v>0.79795918367346896</v>
      </c>
      <c r="M144" s="31">
        <v>7787063569.5392704</v>
      </c>
      <c r="N144" s="31">
        <v>174302546.408562</v>
      </c>
      <c r="O144" s="32">
        <v>0.71632653061224405</v>
      </c>
      <c r="P144" t="str">
        <f>TEXT(H144,"MM/DD")&amp;" "&amp;I144&amp;" ["&amp;TEXT(C144,"0")&amp;"] (dis： "&amp;TEXT(D144,"0")&amp;"，"&amp;TEXT(E144,"0.00%")&amp;" ) (vol_wei_pr："&amp;TEXT(O144,"0.00%")&amp;")"</f>
        <v>12/16 close [27537] (dis： -835，-2.94% ) (vol_wei_pr：71.63%)</v>
      </c>
    </row>
    <row r="145" spans="1:16" x14ac:dyDescent="0.25">
      <c r="A145" t="s">
        <v>209</v>
      </c>
      <c r="B145" t="s">
        <v>210</v>
      </c>
      <c r="C145" s="49">
        <v>27532.26</v>
      </c>
      <c r="D145" s="53">
        <v>-839.72000000000105</v>
      </c>
      <c r="E145" s="27">
        <v>-2.95968064266223E-2</v>
      </c>
      <c r="F145" s="28">
        <v>13</v>
      </c>
      <c r="G145" s="29" t="s">
        <v>327</v>
      </c>
      <c r="H145" s="30">
        <v>45953</v>
      </c>
      <c r="I145" s="28" t="s">
        <v>20</v>
      </c>
      <c r="J145" s="31">
        <v>7318554768</v>
      </c>
      <c r="K145" s="31">
        <v>362999255.71296</v>
      </c>
      <c r="L145" s="27">
        <v>0.79795918367346896</v>
      </c>
      <c r="M145" s="31">
        <v>1648962717.57567</v>
      </c>
      <c r="N145" s="31">
        <v>174302546.408562</v>
      </c>
      <c r="O145" s="32">
        <v>0.71632653061224405</v>
      </c>
      <c r="P145" t="str">
        <f>TEXT(H145,"MM/DD")&amp;" "&amp;I145&amp;" ["&amp;TEXT(C145,"0")&amp;"] (dis： "&amp;TEXT(D145,"0")&amp;"，"&amp;TEXT(E145,"0.00%")&amp;" ) (vol_wei_pr："&amp;TEXT(O145,"0.00%")&amp;")"</f>
        <v>10/23 close [27532] (dis： -840，-2.96% ) (vol_wei_pr：71.63%)</v>
      </c>
    </row>
    <row r="146" spans="1:16" x14ac:dyDescent="0.25">
      <c r="A146" t="s">
        <v>209</v>
      </c>
      <c r="B146" t="s">
        <v>210</v>
      </c>
      <c r="C146" s="49">
        <v>27525.17</v>
      </c>
      <c r="D146" s="53">
        <v>-846.81000000000097</v>
      </c>
      <c r="E146" s="27">
        <v>-2.9846700864726398E-2</v>
      </c>
      <c r="F146" s="28">
        <v>13</v>
      </c>
      <c r="G146" s="29" t="s">
        <v>327</v>
      </c>
      <c r="H146" s="30">
        <v>46008</v>
      </c>
      <c r="I146" s="28" t="s">
        <v>20</v>
      </c>
      <c r="J146" s="31">
        <v>9020647323</v>
      </c>
      <c r="K146" s="31">
        <v>362999255.71296</v>
      </c>
      <c r="L146" s="27">
        <v>0.79795918367346896</v>
      </c>
      <c r="M146" s="31">
        <v>7585429997.17871</v>
      </c>
      <c r="N146" s="31">
        <v>174302546.408562</v>
      </c>
      <c r="O146" s="32">
        <v>0.71632653061224405</v>
      </c>
      <c r="P146" t="str">
        <f>TEXT(H146,"MM/DD")&amp;" "&amp;I146&amp;" ["&amp;TEXT(C146,"0")&amp;"] (dis： "&amp;TEXT(D146,"0")&amp;"，"&amp;TEXT(E146,"0.00%")&amp;" ) (vol_wei_pr："&amp;TEXT(O146,"0.00%")&amp;")"</f>
        <v>12/17 close [27525] (dis： -847，-2.98% ) (vol_wei_pr：71.63%)</v>
      </c>
    </row>
    <row r="147" spans="1:16" x14ac:dyDescent="0.25">
      <c r="A147" t="s">
        <v>209</v>
      </c>
      <c r="B147" t="s">
        <v>210</v>
      </c>
      <c r="C147" s="61">
        <v>27520.156833333302</v>
      </c>
      <c r="D147" s="57">
        <v>-851.82316666666804</v>
      </c>
      <c r="E147" s="27">
        <v>-3.00233951478419E-2</v>
      </c>
      <c r="F147" s="28">
        <v>13</v>
      </c>
      <c r="G147" s="29" t="s">
        <v>329</v>
      </c>
      <c r="H147" s="30">
        <v>46015</v>
      </c>
      <c r="I147" s="60" t="s">
        <v>124</v>
      </c>
      <c r="J147" s="31">
        <v>7899870510</v>
      </c>
      <c r="K147" s="31">
        <v>362999255.71296</v>
      </c>
      <c r="L147" s="27">
        <v>0.79795918367346896</v>
      </c>
      <c r="M147" s="31">
        <v>7899870510</v>
      </c>
      <c r="N147" s="31">
        <v>174302546.408562</v>
      </c>
      <c r="O147" s="32">
        <v>0.71632653061224405</v>
      </c>
      <c r="P147" t="str">
        <f>TEXT(H147,"MM/DD")&amp;" "&amp;I147&amp;" ["&amp;TEXT(C147,"0")&amp;"] (dis： "&amp;TEXT(D147,"0")&amp;"，"&amp;TEXT(E147,"0.00%")&amp;" ) (vol_wei_pr："&amp;TEXT(O147,"0.00%")&amp;")"</f>
        <v>12/24 60MA [27520] (dis： -852，-3.00% ) (vol_wei_pr：71.63%)</v>
      </c>
    </row>
    <row r="148" spans="1:16" ht="17.25" thickBot="1" x14ac:dyDescent="0.3">
      <c r="A148" t="s">
        <v>209</v>
      </c>
      <c r="B148" t="s">
        <v>210</v>
      </c>
      <c r="C148" s="48">
        <v>27517.24</v>
      </c>
      <c r="D148" s="52">
        <v>-854.73999999999796</v>
      </c>
      <c r="E148" s="21">
        <v>-3.0126201978148699E-2</v>
      </c>
      <c r="F148" s="22">
        <v>13</v>
      </c>
      <c r="G148" s="23" t="s">
        <v>328</v>
      </c>
      <c r="H148" s="24">
        <v>45988</v>
      </c>
      <c r="I148" s="22" t="s">
        <v>22</v>
      </c>
      <c r="J148" s="25">
        <v>7539156843</v>
      </c>
      <c r="K148" s="25">
        <v>362999255.71296</v>
      </c>
      <c r="L148" s="21">
        <v>0.79795918367346896</v>
      </c>
      <c r="M148" s="25">
        <v>3902512317.4482899</v>
      </c>
      <c r="N148" s="25">
        <v>174302546.408562</v>
      </c>
      <c r="O148" s="26">
        <v>0.71632653061224405</v>
      </c>
      <c r="P148" t="str">
        <f>TEXT(H148,"MM/DD")&amp;" "&amp;I148&amp;" ["&amp;TEXT(C148,"0")&amp;"] (dis： "&amp;TEXT(D148,"0")&amp;"，"&amp;TEXT(E148,"0.00%")&amp;" ) (vol_wei_pr："&amp;TEXT(O148,"0.00%")&amp;")"</f>
        <v>11/27 open [27517] (dis： -855，-3.01% ) (vol_wei_pr：71.63%)</v>
      </c>
    </row>
    <row r="149" spans="1:16" x14ac:dyDescent="0.25">
      <c r="A149" t="s">
        <v>209</v>
      </c>
      <c r="B149" t="s">
        <v>210</v>
      </c>
      <c r="C149" s="53">
        <v>27513.09</v>
      </c>
      <c r="D149" s="53">
        <v>-858.88999999999896</v>
      </c>
      <c r="E149" s="27">
        <v>-3.0272473052638499E-2</v>
      </c>
      <c r="F149" s="28">
        <v>14</v>
      </c>
      <c r="G149" s="29" t="s">
        <v>330</v>
      </c>
      <c r="H149" s="30">
        <v>45947</v>
      </c>
      <c r="I149" s="28" t="s">
        <v>17</v>
      </c>
      <c r="J149" s="31">
        <v>8962849575</v>
      </c>
      <c r="K149" s="31">
        <v>405533659.54268599</v>
      </c>
      <c r="L149" s="27">
        <v>0.91020408163265298</v>
      </c>
      <c r="M149" s="31">
        <v>1758027312.09641</v>
      </c>
      <c r="N149" s="31">
        <v>182645500.623142</v>
      </c>
      <c r="O149" s="27">
        <v>0.79591836734693799</v>
      </c>
      <c r="P149" t="str">
        <f>TEXT(H149,"MM/DD")&amp;" "&amp;I149&amp;" ["&amp;TEXT(C149,"0")&amp;"] (dis： "&amp;TEXT(D149,"0")&amp;"，"&amp;TEXT(E149,"0.00%")&amp;" ) (vol_wei_pr："&amp;TEXT(O149,"0.00%")&amp;")"</f>
        <v>10/17 max [27513] (dis： -859，-3.03% ) (vol_wei_pr：79.59%)</v>
      </c>
    </row>
    <row r="150" spans="1:16" ht="17.25" thickBot="1" x14ac:dyDescent="0.3">
      <c r="A150" t="s">
        <v>209</v>
      </c>
      <c r="B150" t="s">
        <v>210</v>
      </c>
      <c r="C150" s="53">
        <v>27507.16</v>
      </c>
      <c r="D150" s="53">
        <v>-864.81999999999903</v>
      </c>
      <c r="E150" s="27">
        <v>-3.0481482081969501E-2</v>
      </c>
      <c r="F150" s="28">
        <v>15</v>
      </c>
      <c r="G150" s="29" t="s">
        <v>331</v>
      </c>
      <c r="H150" s="30">
        <v>45944</v>
      </c>
      <c r="I150" s="28" t="s">
        <v>17</v>
      </c>
      <c r="J150" s="31">
        <v>12066540173</v>
      </c>
      <c r="K150" s="31">
        <v>421771770.39317697</v>
      </c>
      <c r="L150" s="27">
        <v>0.94285714285714195</v>
      </c>
      <c r="M150" s="31">
        <v>2133083095.4470401</v>
      </c>
      <c r="N150" s="31">
        <v>185516020.19715199</v>
      </c>
      <c r="O150" s="27">
        <v>0.8</v>
      </c>
      <c r="P150" t="str">
        <f>TEXT(H150,"MM/DD")&amp;" "&amp;I150&amp;" ["&amp;TEXT(C150,"0")&amp;"] (dis： "&amp;TEXT(D150,"0")&amp;"，"&amp;TEXT(E150,"0.00%")&amp;" ) (vol_wei_pr："&amp;TEXT(O150,"0.00%")&amp;")"</f>
        <v>10/14 max [27507] (dis： -865，-3.05% ) (vol_wei_pr：80.00%)</v>
      </c>
    </row>
    <row r="151" spans="1:16" x14ac:dyDescent="0.25">
      <c r="A151" t="s">
        <v>209</v>
      </c>
      <c r="B151" t="s">
        <v>210</v>
      </c>
      <c r="C151" s="62">
        <v>27493.63</v>
      </c>
      <c r="D151" s="54">
        <v>-878.34999999999798</v>
      </c>
      <c r="E151" s="15">
        <v>-3.0958361030847901E-2</v>
      </c>
      <c r="F151" s="16">
        <v>16</v>
      </c>
      <c r="G151" s="17" t="s">
        <v>332</v>
      </c>
      <c r="H151" s="18">
        <v>45981</v>
      </c>
      <c r="I151" s="16" t="s">
        <v>17</v>
      </c>
      <c r="J151" s="19">
        <v>8497528679</v>
      </c>
      <c r="K151" s="19">
        <v>449130201.42666101</v>
      </c>
      <c r="L151" s="15">
        <v>0.96122448979591801</v>
      </c>
      <c r="M151" s="19">
        <v>3698764189.0642099</v>
      </c>
      <c r="N151" s="19">
        <v>197424468.97070101</v>
      </c>
      <c r="O151" s="20">
        <v>0.87551020408163205</v>
      </c>
      <c r="P151" t="str">
        <f>TEXT(H151,"MM/DD")&amp;" "&amp;I151&amp;" ["&amp;TEXT(C151,"0")&amp;"] (dis： "&amp;TEXT(D151,"0")&amp;"，"&amp;TEXT(E151,"0.00%")&amp;" ) (vol_wei_pr："&amp;TEXT(O151,"0.00%")&amp;")"</f>
        <v>11/20 max [27494] (dis： -878，-3.10% ) (vol_wei_pr：87.55%)</v>
      </c>
    </row>
    <row r="152" spans="1:16" ht="17.25" thickBot="1" x14ac:dyDescent="0.3">
      <c r="A152" t="s">
        <v>209</v>
      </c>
      <c r="B152" t="s">
        <v>210</v>
      </c>
      <c r="C152" s="48">
        <v>27490.89</v>
      </c>
      <c r="D152" s="52">
        <v>-881.09</v>
      </c>
      <c r="E152" s="21">
        <v>-3.1054935186053199E-2</v>
      </c>
      <c r="F152" s="22">
        <v>16</v>
      </c>
      <c r="G152" s="23" t="s">
        <v>333</v>
      </c>
      <c r="H152" s="24">
        <v>45952</v>
      </c>
      <c r="I152" s="22" t="s">
        <v>29</v>
      </c>
      <c r="J152" s="25">
        <v>7835590935</v>
      </c>
      <c r="K152" s="25">
        <v>449130201.42666101</v>
      </c>
      <c r="L152" s="21">
        <v>0.96122448979591801</v>
      </c>
      <c r="M152" s="25">
        <v>1705319525.5555601</v>
      </c>
      <c r="N152" s="25">
        <v>197424468.97070101</v>
      </c>
      <c r="O152" s="26">
        <v>0.87551020408163205</v>
      </c>
      <c r="P152" t="str">
        <f>TEXT(H152,"MM/DD")&amp;" "&amp;I152&amp;" ["&amp;TEXT(C152,"0")&amp;"] (dis： "&amp;TEXT(D152,"0")&amp;"，"&amp;TEXT(E152,"0.00%")&amp;" ) (vol_wei_pr："&amp;TEXT(O152,"0.00%")&amp;")"</f>
        <v>10/22 min [27491] (dis： -881，-3.11% ) (vol_wei_pr：87.55%)</v>
      </c>
    </row>
    <row r="153" spans="1:16" x14ac:dyDescent="0.25">
      <c r="A153" t="s">
        <v>209</v>
      </c>
      <c r="B153" t="s">
        <v>210</v>
      </c>
      <c r="C153" s="47">
        <v>27480.44</v>
      </c>
      <c r="D153" s="51">
        <v>-891.54</v>
      </c>
      <c r="E153" s="15">
        <v>-3.1423256325430901E-2</v>
      </c>
      <c r="F153" s="16">
        <v>15</v>
      </c>
      <c r="G153" s="17" t="s">
        <v>334</v>
      </c>
      <c r="H153" s="18">
        <v>45950</v>
      </c>
      <c r="I153" s="16" t="s">
        <v>22</v>
      </c>
      <c r="J153" s="19">
        <v>8045886081</v>
      </c>
      <c r="K153" s="19">
        <v>415778746.01251298</v>
      </c>
      <c r="L153" s="15">
        <v>0.91632653061224401</v>
      </c>
      <c r="M153" s="19">
        <v>1633822562.5253799</v>
      </c>
      <c r="N153" s="19">
        <v>190165936.89631799</v>
      </c>
      <c r="O153" s="20">
        <v>0.82244897959183605</v>
      </c>
      <c r="P153" t="str">
        <f>TEXT(H153,"MM/DD")&amp;" "&amp;I153&amp;" ["&amp;TEXT(C153,"0")&amp;"] (dis： "&amp;TEXT(D153,"0")&amp;"，"&amp;TEXT(E153,"0.00%")&amp;" ) (vol_wei_pr："&amp;TEXT(O153,"0.00%")&amp;")"</f>
        <v>10/20 open [27480] (dis： -892，-3.14% ) (vol_wei_pr：82.24%)</v>
      </c>
    </row>
    <row r="154" spans="1:16" ht="17.25" thickBot="1" x14ac:dyDescent="0.3">
      <c r="A154" t="s">
        <v>209</v>
      </c>
      <c r="B154" t="s">
        <v>210</v>
      </c>
      <c r="C154" s="48">
        <v>27477.1</v>
      </c>
      <c r="D154" s="52">
        <v>-894.88000000000102</v>
      </c>
      <c r="E154" s="21">
        <v>-3.15409781058636E-2</v>
      </c>
      <c r="F154" s="22">
        <v>15</v>
      </c>
      <c r="G154" s="23" t="s">
        <v>335</v>
      </c>
      <c r="H154" s="24">
        <v>45993</v>
      </c>
      <c r="I154" s="22" t="s">
        <v>29</v>
      </c>
      <c r="J154" s="25">
        <v>7321099919</v>
      </c>
      <c r="K154" s="25">
        <v>415778746.01251298</v>
      </c>
      <c r="L154" s="21">
        <v>0.91632653061224401</v>
      </c>
      <c r="M154" s="25">
        <v>4204867716.8621101</v>
      </c>
      <c r="N154" s="25">
        <v>190165936.89631799</v>
      </c>
      <c r="O154" s="26">
        <v>0.82244897959183605</v>
      </c>
      <c r="P154" t="str">
        <f>TEXT(H154,"MM/DD")&amp;" "&amp;I154&amp;" ["&amp;TEXT(C154,"0")&amp;"] (dis： "&amp;TEXT(D154,"0")&amp;"，"&amp;TEXT(E154,"0.00%")&amp;" ) (vol_wei_pr："&amp;TEXT(O154,"0.00%")&amp;")"</f>
        <v>12/02 min [27477] (dis： -895，-3.15% ) (vol_wei_pr：82.24%)</v>
      </c>
    </row>
    <row r="155" spans="1:16" x14ac:dyDescent="0.25">
      <c r="A155" t="s">
        <v>209</v>
      </c>
      <c r="B155" t="s">
        <v>210</v>
      </c>
      <c r="C155" s="57">
        <v>27469.599999999999</v>
      </c>
      <c r="D155" s="57">
        <v>-902.38000000000102</v>
      </c>
      <c r="E155" s="27">
        <v>-3.18053234212064E-2</v>
      </c>
      <c r="F155" s="28">
        <v>14</v>
      </c>
      <c r="G155" s="29" t="s">
        <v>336</v>
      </c>
      <c r="H155" s="30">
        <v>46008</v>
      </c>
      <c r="I155" s="28" t="s">
        <v>29</v>
      </c>
      <c r="J155" s="31">
        <v>9020647323</v>
      </c>
      <c r="K155" s="31">
        <v>388130043.57284403</v>
      </c>
      <c r="L155" s="27">
        <v>0.85306122448979504</v>
      </c>
      <c r="M155" s="31">
        <v>7585429997.17871</v>
      </c>
      <c r="N155" s="31">
        <v>174285927.391193</v>
      </c>
      <c r="O155" s="27">
        <v>0.69795918367346899</v>
      </c>
      <c r="P155" t="str">
        <f>TEXT(H155,"MM/DD")&amp;" "&amp;I155&amp;" ["&amp;TEXT(C155,"0")&amp;"] (dis： "&amp;TEXT(D155,"0")&amp;"，"&amp;TEXT(E155,"0.00%")&amp;" ) (vol_wei_pr："&amp;TEXT(O155,"0.00%")&amp;")"</f>
        <v>12/17 min [27470] (dis： -902，-3.18% ) (vol_wei_pr：69.80%)</v>
      </c>
    </row>
    <row r="156" spans="1:16" ht="17.25" thickBot="1" x14ac:dyDescent="0.3">
      <c r="A156" t="s">
        <v>209</v>
      </c>
      <c r="B156" t="s">
        <v>210</v>
      </c>
      <c r="C156" s="53">
        <v>27468.53</v>
      </c>
      <c r="D156" s="53">
        <v>-903.45</v>
      </c>
      <c r="E156" s="27">
        <v>-3.18430366861953E-2</v>
      </c>
      <c r="F156" s="28">
        <v>13</v>
      </c>
      <c r="G156" s="29" t="s">
        <v>337</v>
      </c>
      <c r="H156" s="30">
        <v>46009</v>
      </c>
      <c r="I156" s="28" t="s">
        <v>20</v>
      </c>
      <c r="J156" s="31">
        <v>8450315748</v>
      </c>
      <c r="K156" s="31">
        <v>359133138.101758</v>
      </c>
      <c r="L156" s="27">
        <v>0.77959183673469301</v>
      </c>
      <c r="M156" s="31">
        <v>7356427134.4514999</v>
      </c>
      <c r="N156" s="31">
        <v>149902533.52710599</v>
      </c>
      <c r="O156" s="27">
        <v>0.57959183673469306</v>
      </c>
      <c r="P156" t="str">
        <f>TEXT(H156,"MM/DD")&amp;" "&amp;I156&amp;" ["&amp;TEXT(C156,"0")&amp;"] (dis： "&amp;TEXT(D156,"0")&amp;"，"&amp;TEXT(E156,"0.00%")&amp;" ) (vol_wei_pr："&amp;TEXT(O156,"0.00%")&amp;")"</f>
        <v>12/18 close [27469] (dis： -903，-3.18% ) (vol_wei_pr：57.96%)</v>
      </c>
    </row>
    <row r="157" spans="1:16" x14ac:dyDescent="0.25">
      <c r="A157" t="s">
        <v>209</v>
      </c>
      <c r="B157" t="s">
        <v>210</v>
      </c>
      <c r="C157" s="47">
        <v>27463.119999999999</v>
      </c>
      <c r="D157" s="51">
        <v>-908.86</v>
      </c>
      <c r="E157" s="15">
        <v>-3.2033717773662602E-2</v>
      </c>
      <c r="F157" s="16">
        <v>14</v>
      </c>
      <c r="G157" s="17" t="s">
        <v>338</v>
      </c>
      <c r="H157" s="18">
        <v>45939</v>
      </c>
      <c r="I157" s="16" t="s">
        <v>17</v>
      </c>
      <c r="J157" s="19">
        <v>9444331803</v>
      </c>
      <c r="K157" s="19">
        <v>404095441.37716901</v>
      </c>
      <c r="L157" s="15">
        <v>0.89795918367346905</v>
      </c>
      <c r="M157" s="19">
        <v>1557733815.75281</v>
      </c>
      <c r="N157" s="19">
        <v>157318547.884415</v>
      </c>
      <c r="O157" s="20">
        <v>0.60816326530612197</v>
      </c>
      <c r="P157" t="str">
        <f>TEXT(H157,"MM/DD")&amp;" "&amp;I157&amp;" ["&amp;TEXT(C157,"0")&amp;"] (dis： "&amp;TEXT(D157,"0")&amp;"，"&amp;TEXT(E157,"0.00%")&amp;" ) (vol_wei_pr："&amp;TEXT(O157,"0.00%")&amp;")"</f>
        <v>10/09 max [27463] (dis： -909，-3.20% ) (vol_wei_pr：60.82%)</v>
      </c>
    </row>
    <row r="158" spans="1:16" x14ac:dyDescent="0.25">
      <c r="A158" t="s">
        <v>209</v>
      </c>
      <c r="B158" t="s">
        <v>210</v>
      </c>
      <c r="C158" s="49">
        <v>27457.07</v>
      </c>
      <c r="D158" s="53">
        <v>-914.90999999999894</v>
      </c>
      <c r="E158" s="27">
        <v>-3.2246956328039103E-2</v>
      </c>
      <c r="F158" s="28">
        <v>14</v>
      </c>
      <c r="G158" s="29" t="s">
        <v>339</v>
      </c>
      <c r="H158" s="30">
        <v>45953</v>
      </c>
      <c r="I158" s="28" t="s">
        <v>22</v>
      </c>
      <c r="J158" s="31">
        <v>7318554768</v>
      </c>
      <c r="K158" s="31">
        <v>404095441.37716901</v>
      </c>
      <c r="L158" s="27">
        <v>0.89795918367346905</v>
      </c>
      <c r="M158" s="31">
        <v>1648962717.57567</v>
      </c>
      <c r="N158" s="31">
        <v>157318547.884415</v>
      </c>
      <c r="O158" s="32">
        <v>0.60816326530612197</v>
      </c>
      <c r="P158" t="str">
        <f>TEXT(H158,"MM/DD")&amp;" "&amp;I158&amp;" ["&amp;TEXT(C158,"0")&amp;"] (dis： "&amp;TEXT(D158,"0")&amp;"，"&amp;TEXT(E158,"0.00%")&amp;" ) (vol_wei_pr："&amp;TEXT(O158,"0.00%")&amp;")"</f>
        <v>10/23 open [27457] (dis： -915，-3.22% ) (vol_wei_pr：60.82%)</v>
      </c>
    </row>
    <row r="159" spans="1:16" x14ac:dyDescent="0.25">
      <c r="A159" t="s">
        <v>209</v>
      </c>
      <c r="B159" t="s">
        <v>210</v>
      </c>
      <c r="C159" s="49">
        <v>27447.45</v>
      </c>
      <c r="D159" s="53">
        <v>-924.52999999999804</v>
      </c>
      <c r="E159" s="27">
        <v>-3.2586023252518803E-2</v>
      </c>
      <c r="F159" s="28">
        <v>14</v>
      </c>
      <c r="G159" s="29" t="s">
        <v>339</v>
      </c>
      <c r="H159" s="30">
        <v>46009</v>
      </c>
      <c r="I159" s="28" t="s">
        <v>22</v>
      </c>
      <c r="J159" s="31">
        <v>8450315748</v>
      </c>
      <c r="K159" s="31">
        <v>404095441.37716901</v>
      </c>
      <c r="L159" s="27">
        <v>0.89795918367346905</v>
      </c>
      <c r="M159" s="31">
        <v>7356427134.4514999</v>
      </c>
      <c r="N159" s="31">
        <v>157318547.884415</v>
      </c>
      <c r="O159" s="32">
        <v>0.60816326530612197</v>
      </c>
      <c r="P159" t="str">
        <f>TEXT(H159,"MM/DD")&amp;" "&amp;I159&amp;" ["&amp;TEXT(C159,"0")&amp;"] (dis： "&amp;TEXT(D159,"0")&amp;"，"&amp;TEXT(E159,"0.00%")&amp;" ) (vol_wei_pr："&amp;TEXT(O159,"0.00%")&amp;")"</f>
        <v>12/18 open [27447] (dis： -925，-3.26% ) (vol_wei_pr：60.82%)</v>
      </c>
    </row>
    <row r="160" spans="1:16" x14ac:dyDescent="0.25">
      <c r="A160" t="s">
        <v>209</v>
      </c>
      <c r="B160" t="s">
        <v>210</v>
      </c>
      <c r="C160" s="49">
        <v>27447.31</v>
      </c>
      <c r="D160" s="53">
        <v>-924.66999999999803</v>
      </c>
      <c r="E160" s="27">
        <v>-3.2590957698405199E-2</v>
      </c>
      <c r="F160" s="28">
        <v>14</v>
      </c>
      <c r="G160" s="29" t="s">
        <v>340</v>
      </c>
      <c r="H160" s="30">
        <v>45978</v>
      </c>
      <c r="I160" s="28" t="s">
        <v>20</v>
      </c>
      <c r="J160" s="31">
        <v>8604107358</v>
      </c>
      <c r="K160" s="31">
        <v>404095441.37716901</v>
      </c>
      <c r="L160" s="27">
        <v>0.89795918367346905</v>
      </c>
      <c r="M160" s="31">
        <v>3375322904.84161</v>
      </c>
      <c r="N160" s="31">
        <v>157318547.884415</v>
      </c>
      <c r="O160" s="32">
        <v>0.60816326530612197</v>
      </c>
      <c r="P160" t="str">
        <f>TEXT(H160,"MM/DD")&amp;" "&amp;I160&amp;" ["&amp;TEXT(C160,"0")&amp;"] (dis： "&amp;TEXT(D160,"0")&amp;"，"&amp;TEXT(E160,"0.00%")&amp;" ) (vol_wei_pr："&amp;TEXT(O160,"0.00%")&amp;")"</f>
        <v>11/17 close [27447] (dis： -925，-3.26% ) (vol_wei_pr：60.82%)</v>
      </c>
    </row>
    <row r="161" spans="1:16" ht="17.25" thickBot="1" x14ac:dyDescent="0.3">
      <c r="A161" t="s">
        <v>209</v>
      </c>
      <c r="B161" t="s">
        <v>210</v>
      </c>
      <c r="C161" s="48">
        <v>27447.31</v>
      </c>
      <c r="D161" s="52">
        <v>-924.66999999999803</v>
      </c>
      <c r="E161" s="21">
        <v>-3.2590957698405199E-2</v>
      </c>
      <c r="F161" s="22">
        <v>14</v>
      </c>
      <c r="G161" s="23" t="s">
        <v>341</v>
      </c>
      <c r="H161" s="24">
        <v>45978</v>
      </c>
      <c r="I161" s="22" t="s">
        <v>29</v>
      </c>
      <c r="J161" s="25">
        <v>8604107358</v>
      </c>
      <c r="K161" s="25">
        <v>404095441.37716901</v>
      </c>
      <c r="L161" s="21">
        <v>0.89795918367346905</v>
      </c>
      <c r="M161" s="25">
        <v>3375322904.84161</v>
      </c>
      <c r="N161" s="25">
        <v>157318547.884415</v>
      </c>
      <c r="O161" s="26">
        <v>0.60816326530612197</v>
      </c>
      <c r="P161" t="str">
        <f>TEXT(H161,"MM/DD")&amp;" "&amp;I161&amp;" ["&amp;TEXT(C161,"0")&amp;"] (dis： "&amp;TEXT(D161,"0")&amp;"，"&amp;TEXT(E161,"0.00%")&amp;" ) (vol_wei_pr："&amp;TEXT(O161,"0.00%")&amp;")"</f>
        <v>11/17 min [27447] (dis： -925，-3.26% ) (vol_wei_pr：60.82%)</v>
      </c>
    </row>
    <row r="162" spans="1:16" x14ac:dyDescent="0.25">
      <c r="A162" t="s">
        <v>209</v>
      </c>
      <c r="B162" t="s">
        <v>210</v>
      </c>
      <c r="C162" s="46">
        <v>27436.59</v>
      </c>
      <c r="D162" s="46">
        <v>-935.38999999999896</v>
      </c>
      <c r="E162" s="4">
        <v>-3.2968795269135202E-2</v>
      </c>
      <c r="F162" s="6">
        <v>13</v>
      </c>
      <c r="G162" s="10" t="s">
        <v>342</v>
      </c>
      <c r="H162" s="11">
        <v>45988</v>
      </c>
      <c r="I162" s="6" t="s">
        <v>29</v>
      </c>
      <c r="J162" s="8">
        <v>7539156843</v>
      </c>
      <c r="K162" s="8">
        <v>372973010.07426798</v>
      </c>
      <c r="L162" s="4">
        <v>0.82040816326530597</v>
      </c>
      <c r="M162" s="8">
        <v>3902512317.4482899</v>
      </c>
      <c r="N162" s="8">
        <v>145109465.54034501</v>
      </c>
      <c r="O162" s="4">
        <v>0.54285714285714204</v>
      </c>
      <c r="P162" t="str">
        <f>TEXT(H162,"MM/DD")&amp;" "&amp;I162&amp;" ["&amp;TEXT(C162,"0")&amp;"] (dis： "&amp;TEXT(D162,"0")&amp;"，"&amp;TEXT(E162,"0.00%")&amp;" ) (vol_wei_pr："&amp;TEXT(O162,"0.00%")&amp;")"</f>
        <v>11/27 min [27437] (dis： -935，-3.30% ) (vol_wei_pr：54.29%)</v>
      </c>
    </row>
    <row r="163" spans="1:16" x14ac:dyDescent="0.25">
      <c r="A163" t="s">
        <v>209</v>
      </c>
      <c r="B163" t="s">
        <v>210</v>
      </c>
      <c r="C163" s="46">
        <v>27426.36</v>
      </c>
      <c r="D163" s="46">
        <v>-945.61999999999898</v>
      </c>
      <c r="E163" s="4">
        <v>-3.3329362279262802E-2</v>
      </c>
      <c r="F163" s="6">
        <v>12</v>
      </c>
      <c r="G163" s="10" t="s">
        <v>343</v>
      </c>
      <c r="H163" s="11">
        <v>45981</v>
      </c>
      <c r="I163" s="6" t="s">
        <v>20</v>
      </c>
      <c r="J163" s="8">
        <v>8497528679</v>
      </c>
      <c r="K163" s="8">
        <v>339084589.86929703</v>
      </c>
      <c r="L163" s="4">
        <v>0.62653061224489703</v>
      </c>
      <c r="M163" s="8">
        <v>3698764189.0642099</v>
      </c>
      <c r="N163" s="8">
        <v>127567719.159043</v>
      </c>
      <c r="O163" s="4">
        <v>0.41836734693877498</v>
      </c>
      <c r="P163" t="str">
        <f>TEXT(H163,"MM/DD")&amp;" "&amp;I163&amp;" ["&amp;TEXT(C163,"0")&amp;"] (dis： "&amp;TEXT(D163,"0")&amp;"，"&amp;TEXT(E163,"0.00%")&amp;" ) (vol_wei_pr："&amp;TEXT(O163,"0.00%")&amp;")"</f>
        <v>11/20 close [27426] (dis： -946，-3.33% ) (vol_wei_pr：41.84%)</v>
      </c>
    </row>
    <row r="164" spans="1:16" ht="17.25" thickBot="1" x14ac:dyDescent="0.3">
      <c r="A164" t="s">
        <v>209</v>
      </c>
      <c r="B164" t="s">
        <v>210</v>
      </c>
      <c r="C164" s="53">
        <v>27412.45</v>
      </c>
      <c r="D164" s="53">
        <v>-959.52999999999804</v>
      </c>
      <c r="E164" s="27">
        <v>-3.38196347241186E-2</v>
      </c>
      <c r="F164" s="28">
        <v>12</v>
      </c>
      <c r="G164" s="29" t="s">
        <v>344</v>
      </c>
      <c r="H164" s="30">
        <v>45950</v>
      </c>
      <c r="I164" s="28" t="s">
        <v>29</v>
      </c>
      <c r="J164" s="31">
        <v>8045886081</v>
      </c>
      <c r="K164" s="31">
        <v>339084589.86929703</v>
      </c>
      <c r="L164" s="27">
        <v>0.62653061224489703</v>
      </c>
      <c r="M164" s="31">
        <v>1633822562.5253799</v>
      </c>
      <c r="N164" s="31">
        <v>127567719.159043</v>
      </c>
      <c r="O164" s="27">
        <v>0.41836734693877498</v>
      </c>
      <c r="P164" t="str">
        <f>TEXT(H164,"MM/DD")&amp;" "&amp;I164&amp;" ["&amp;TEXT(C164,"0")&amp;"] (dis： "&amp;TEXT(D164,"0")&amp;"，"&amp;TEXT(E164,"0.00%")&amp;" ) (vol_wei_pr："&amp;TEXT(O164,"0.00%")&amp;")"</f>
        <v>10/20 min [27412] (dis： -960，-3.38% ) (vol_wei_pr：41.84%)</v>
      </c>
    </row>
    <row r="165" spans="1:16" x14ac:dyDescent="0.25">
      <c r="A165" t="s">
        <v>407</v>
      </c>
      <c r="B165" t="s">
        <v>210</v>
      </c>
      <c r="C165" s="47">
        <v>27409.54</v>
      </c>
      <c r="D165" s="51">
        <v>-962.43999999999801</v>
      </c>
      <c r="E165" s="15">
        <v>-3.3922200706471603E-2</v>
      </c>
      <c r="F165" s="16">
        <v>12</v>
      </c>
      <c r="G165" s="17" t="s">
        <v>345</v>
      </c>
      <c r="H165" s="18">
        <v>45987</v>
      </c>
      <c r="I165" s="16" t="s">
        <v>20</v>
      </c>
      <c r="J165" s="19">
        <v>7902773415</v>
      </c>
      <c r="K165" s="19">
        <v>339288340.11124498</v>
      </c>
      <c r="L165" s="15">
        <v>0.64081632653061205</v>
      </c>
      <c r="M165" s="19">
        <v>3951386707.5</v>
      </c>
      <c r="N165" s="19">
        <v>134384001.78374001</v>
      </c>
      <c r="O165" s="20">
        <v>0.473469387755102</v>
      </c>
      <c r="P165" t="str">
        <f>TEXT(H165,"MM/DD")&amp;" "&amp;I165&amp;" ["&amp;TEXT(C165,"0")&amp;"] (dis： "&amp;TEXT(D165,"0")&amp;"，"&amp;TEXT(E165,"0.00%")&amp;" ) (vol_wei_pr："&amp;TEXT(O165,"0.00%")&amp;")"</f>
        <v>11/26 close [27410] (dis： -962，-3.39% ) (vol_wei_pr：47.35%)</v>
      </c>
    </row>
    <row r="166" spans="1:16" x14ac:dyDescent="0.25">
      <c r="A166" t="s">
        <v>209</v>
      </c>
      <c r="B166" t="s">
        <v>210</v>
      </c>
      <c r="C166" s="49">
        <v>27409.54</v>
      </c>
      <c r="D166" s="53">
        <v>-962.43999999999801</v>
      </c>
      <c r="E166" s="27">
        <v>-3.3922200706471603E-2</v>
      </c>
      <c r="F166" s="28">
        <v>12</v>
      </c>
      <c r="G166" s="29" t="s">
        <v>346</v>
      </c>
      <c r="H166" s="30">
        <v>45987</v>
      </c>
      <c r="I166" s="28" t="s">
        <v>17</v>
      </c>
      <c r="J166" s="31">
        <v>7902773415</v>
      </c>
      <c r="K166" s="31">
        <v>339288340.11124498</v>
      </c>
      <c r="L166" s="27">
        <v>0.64081632653061205</v>
      </c>
      <c r="M166" s="31">
        <v>3951386707.5</v>
      </c>
      <c r="N166" s="31">
        <v>134384001.78374001</v>
      </c>
      <c r="O166" s="32">
        <v>0.473469387755102</v>
      </c>
      <c r="P166" t="str">
        <f>TEXT(H166,"MM/DD")&amp;" "&amp;I166&amp;" ["&amp;TEXT(C166,"0")&amp;"] (dis： "&amp;TEXT(D166,"0")&amp;"，"&amp;TEXT(E166,"0.00%")&amp;" ) (vol_wei_pr："&amp;TEXT(O166,"0.00%")&amp;")"</f>
        <v>11/26 max [27410] (dis： -962，-3.39% ) (vol_wei_pr：47.35%)</v>
      </c>
    </row>
    <row r="167" spans="1:16" x14ac:dyDescent="0.25">
      <c r="A167" t="s">
        <v>209</v>
      </c>
      <c r="B167" t="s">
        <v>210</v>
      </c>
      <c r="C167" s="49">
        <v>27399.91</v>
      </c>
      <c r="D167" s="53">
        <v>-972.06999999999903</v>
      </c>
      <c r="E167" s="27">
        <v>-3.4261620091371799E-2</v>
      </c>
      <c r="F167" s="28">
        <v>12</v>
      </c>
      <c r="G167" s="29" t="s">
        <v>347</v>
      </c>
      <c r="H167" s="30">
        <v>45947</v>
      </c>
      <c r="I167" s="28" t="s">
        <v>22</v>
      </c>
      <c r="J167" s="31">
        <v>8962849575</v>
      </c>
      <c r="K167" s="31">
        <v>339288340.11124498</v>
      </c>
      <c r="L167" s="27">
        <v>0.64081632653061205</v>
      </c>
      <c r="M167" s="31">
        <v>1758027312.09641</v>
      </c>
      <c r="N167" s="31">
        <v>134384001.78374001</v>
      </c>
      <c r="O167" s="32">
        <v>0.473469387755102</v>
      </c>
      <c r="P167" t="str">
        <f>TEXT(H167,"MM/DD")&amp;" "&amp;I167&amp;" ["&amp;TEXT(C167,"0")&amp;"] (dis： "&amp;TEXT(D167,"0")&amp;"，"&amp;TEXT(E167,"0.00%")&amp;" ) (vol_wei_pr："&amp;TEXT(O167,"0.00%")&amp;")"</f>
        <v>10/17 open [27400] (dis： -972，-3.43% ) (vol_wei_pr：47.35%)</v>
      </c>
    </row>
    <row r="168" spans="1:16" x14ac:dyDescent="0.25">
      <c r="A168" t="s">
        <v>209</v>
      </c>
      <c r="B168" t="s">
        <v>210</v>
      </c>
      <c r="C168" s="49">
        <v>27397.5</v>
      </c>
      <c r="D168" s="53">
        <v>-974.479999999999</v>
      </c>
      <c r="E168" s="27">
        <v>-3.4346563052701902E-2</v>
      </c>
      <c r="F168" s="28">
        <v>12</v>
      </c>
      <c r="G168" s="29" t="s">
        <v>345</v>
      </c>
      <c r="H168" s="30">
        <v>45975</v>
      </c>
      <c r="I168" s="28" t="s">
        <v>20</v>
      </c>
      <c r="J168" s="31">
        <v>9939352945</v>
      </c>
      <c r="K168" s="31">
        <v>339288340.11124498</v>
      </c>
      <c r="L168" s="27">
        <v>0.64081632653061205</v>
      </c>
      <c r="M168" s="31">
        <v>3766310479.7825999</v>
      </c>
      <c r="N168" s="31">
        <v>134384001.78374001</v>
      </c>
      <c r="O168" s="32">
        <v>0.473469387755102</v>
      </c>
      <c r="P168" t="str">
        <f>TEXT(H168,"MM/DD")&amp;" "&amp;I168&amp;" ["&amp;TEXT(C168,"0")&amp;"] (dis： "&amp;TEXT(D168,"0")&amp;"，"&amp;TEXT(E168,"0.00%")&amp;" ) (vol_wei_pr："&amp;TEXT(O168,"0.00%")&amp;")"</f>
        <v>11/14 close [27398] (dis： -974，-3.43% ) (vol_wei_pr：47.35%)</v>
      </c>
    </row>
    <row r="169" spans="1:16" ht="17.25" thickBot="1" x14ac:dyDescent="0.3">
      <c r="A169" t="s">
        <v>209</v>
      </c>
      <c r="B169" t="s">
        <v>210</v>
      </c>
      <c r="C169" s="48">
        <v>27383.34</v>
      </c>
      <c r="D169" s="52">
        <v>-988.63999999999896</v>
      </c>
      <c r="E169" s="21">
        <v>-3.4845647008069199E-2</v>
      </c>
      <c r="F169" s="22">
        <v>12</v>
      </c>
      <c r="G169" s="23" t="s">
        <v>348</v>
      </c>
      <c r="H169" s="24">
        <v>45975</v>
      </c>
      <c r="I169" s="22" t="s">
        <v>29</v>
      </c>
      <c r="J169" s="25">
        <v>9939352945</v>
      </c>
      <c r="K169" s="25">
        <v>339288340.11124498</v>
      </c>
      <c r="L169" s="21">
        <v>0.64081632653061205</v>
      </c>
      <c r="M169" s="25">
        <v>3766310479.7825999</v>
      </c>
      <c r="N169" s="25">
        <v>134384001.78374001</v>
      </c>
      <c r="O169" s="26">
        <v>0.473469387755102</v>
      </c>
      <c r="P169" t="str">
        <f>TEXT(H169,"MM/DD")&amp;" "&amp;I169&amp;" ["&amp;TEXT(C169,"0")&amp;"] (dis： "&amp;TEXT(D169,"0")&amp;"，"&amp;TEXT(E169,"0.00%")&amp;" ) (vol_wei_pr："&amp;TEXT(O169,"0.00%")&amp;")"</f>
        <v>11/14 min [27383] (dis： -989，-3.48% ) (vol_wei_pr：47.35%)</v>
      </c>
    </row>
    <row r="170" spans="1:16" x14ac:dyDescent="0.25">
      <c r="A170" t="s">
        <v>209</v>
      </c>
      <c r="B170" t="s">
        <v>210</v>
      </c>
      <c r="C170" s="46">
        <v>27373.05</v>
      </c>
      <c r="D170" s="46">
        <v>-998.93</v>
      </c>
      <c r="E170" s="4">
        <v>-3.52083287807195E-2</v>
      </c>
      <c r="F170" s="6">
        <v>11</v>
      </c>
      <c r="G170" s="10" t="s">
        <v>349</v>
      </c>
      <c r="H170" s="11">
        <v>45966</v>
      </c>
      <c r="I170" s="6" t="s">
        <v>29</v>
      </c>
      <c r="J170" s="8">
        <v>8989778518</v>
      </c>
      <c r="K170" s="8">
        <v>316339544.32033801</v>
      </c>
      <c r="L170" s="4">
        <v>0.59183673469387699</v>
      </c>
      <c r="M170" s="8">
        <v>2672677143.9760499</v>
      </c>
      <c r="N170" s="8">
        <v>125688034.29330499</v>
      </c>
      <c r="O170" s="4">
        <v>0.41224489795918301</v>
      </c>
      <c r="P170" t="str">
        <f>TEXT(H170,"MM/DD")&amp;" "&amp;I170&amp;" ["&amp;TEXT(C170,"0")&amp;"] (dis： "&amp;TEXT(D170,"0")&amp;"，"&amp;TEXT(E170,"0.00%")&amp;" ) (vol_wei_pr："&amp;TEXT(O170,"0.00%")&amp;")"</f>
        <v>11/05 min [27373] (dis： -999，-3.52% ) (vol_wei_pr：41.22%)</v>
      </c>
    </row>
    <row r="171" spans="1:16" x14ac:dyDescent="0.25">
      <c r="A171" t="s">
        <v>209</v>
      </c>
      <c r="B171" t="s">
        <v>210</v>
      </c>
      <c r="C171" s="46">
        <v>27371.67</v>
      </c>
      <c r="D171" s="46">
        <v>-1000.31</v>
      </c>
      <c r="E171" s="4">
        <v>-3.5256968318742601E-2</v>
      </c>
      <c r="F171" s="6">
        <v>10</v>
      </c>
      <c r="G171" s="10" t="s">
        <v>350</v>
      </c>
      <c r="H171" s="11">
        <v>45953</v>
      </c>
      <c r="I171" s="6" t="s">
        <v>29</v>
      </c>
      <c r="J171" s="8">
        <v>7318554768</v>
      </c>
      <c r="K171" s="8">
        <v>295238759.14054197</v>
      </c>
      <c r="L171" s="4">
        <v>0.473469387755102</v>
      </c>
      <c r="M171" s="8">
        <v>1648962717.57567</v>
      </c>
      <c r="N171" s="8">
        <v>119414733.326315</v>
      </c>
      <c r="O171" s="4">
        <v>0.40816326530612201</v>
      </c>
      <c r="P171" t="str">
        <f>TEXT(H171,"MM/DD")&amp;" "&amp;I171&amp;" ["&amp;TEXT(C171,"0")&amp;"] (dis： "&amp;TEXT(D171,"0")&amp;"，"&amp;TEXT(E171,"0.00%")&amp;" ) (vol_wei_pr："&amp;TEXT(O171,"0.00%")&amp;")"</f>
        <v>10/23 min [27372] (dis： -1000，-3.53% ) (vol_wei_pr：40.82%)</v>
      </c>
    </row>
    <row r="172" spans="1:16" x14ac:dyDescent="0.25">
      <c r="A172" t="s">
        <v>209</v>
      </c>
      <c r="B172" t="s">
        <v>210</v>
      </c>
      <c r="C172" s="46">
        <v>27355.67</v>
      </c>
      <c r="D172" s="46">
        <v>-1016.31</v>
      </c>
      <c r="E172" s="4">
        <v>-3.5820904991474001E-2</v>
      </c>
      <c r="F172" s="6">
        <v>9</v>
      </c>
      <c r="G172" s="10" t="s">
        <v>351</v>
      </c>
      <c r="H172" s="11">
        <v>46007</v>
      </c>
      <c r="I172" s="6" t="s">
        <v>29</v>
      </c>
      <c r="J172" s="8">
        <v>9586999810</v>
      </c>
      <c r="K172" s="8">
        <v>261227444.111265</v>
      </c>
      <c r="L172" s="4">
        <v>0.41224489795918301</v>
      </c>
      <c r="M172" s="8">
        <v>7787063569.5392704</v>
      </c>
      <c r="N172" s="8">
        <v>111751554.975281</v>
      </c>
      <c r="O172" s="4">
        <v>0.39591836734693803</v>
      </c>
      <c r="P172" t="str">
        <f>TEXT(H172,"MM/DD")&amp;" "&amp;I172&amp;" ["&amp;TEXT(C172,"0")&amp;"] (dis： "&amp;TEXT(D172,"0")&amp;"，"&amp;TEXT(E172,"0.00%")&amp;" ) (vol_wei_pr："&amp;TEXT(O172,"0.00%")&amp;")"</f>
        <v>12/16 min [27356] (dis： -1016，-3.58% ) (vol_wei_pr：39.59%)</v>
      </c>
    </row>
    <row r="173" spans="1:16" ht="17.25" thickBot="1" x14ac:dyDescent="0.3">
      <c r="A173" t="s">
        <v>209</v>
      </c>
      <c r="B173" t="s">
        <v>210</v>
      </c>
      <c r="C173" s="53">
        <v>27350.77</v>
      </c>
      <c r="D173" s="53">
        <v>-1021.20999999999</v>
      </c>
      <c r="E173" s="27">
        <v>-3.5993610597497901E-2</v>
      </c>
      <c r="F173" s="28">
        <v>8</v>
      </c>
      <c r="G173" s="29" t="s">
        <v>352</v>
      </c>
      <c r="H173" s="30">
        <v>46009</v>
      </c>
      <c r="I173" s="28" t="s">
        <v>29</v>
      </c>
      <c r="J173" s="31">
        <v>8450315748</v>
      </c>
      <c r="K173" s="31">
        <v>236325499.09970599</v>
      </c>
      <c r="L173" s="27">
        <v>0.35918367346938701</v>
      </c>
      <c r="M173" s="31">
        <v>7356427134.4514999</v>
      </c>
      <c r="N173" s="31">
        <v>91524890.465711296</v>
      </c>
      <c r="O173" s="27">
        <v>0.33061224489795898</v>
      </c>
      <c r="P173" t="str">
        <f>TEXT(H173,"MM/DD")&amp;" "&amp;I173&amp;" ["&amp;TEXT(C173,"0")&amp;"] (dis： "&amp;TEXT(D173,"0")&amp;"，"&amp;TEXT(E173,"0.00%")&amp;" ) (vol_wei_pr："&amp;TEXT(O173,"0.00%")&amp;")"</f>
        <v>12/18 min [27351] (dis： -1021，-3.60% ) (vol_wei_pr：33.06%)</v>
      </c>
    </row>
    <row r="174" spans="1:16" x14ac:dyDescent="0.25">
      <c r="A174" t="s">
        <v>209</v>
      </c>
      <c r="B174" t="s">
        <v>210</v>
      </c>
      <c r="C174" s="47">
        <v>27342.53</v>
      </c>
      <c r="D174" s="51">
        <v>-1029.45</v>
      </c>
      <c r="E174" s="15">
        <v>-3.6284037983954603E-2</v>
      </c>
      <c r="F174" s="16">
        <v>7</v>
      </c>
      <c r="G174" s="17" t="s">
        <v>353</v>
      </c>
      <c r="H174" s="18">
        <v>45992</v>
      </c>
      <c r="I174" s="16" t="s">
        <v>20</v>
      </c>
      <c r="J174" s="19">
        <v>7418235597</v>
      </c>
      <c r="K174" s="19">
        <v>197681351.53488201</v>
      </c>
      <c r="L174" s="15">
        <v>0.32857142857142801</v>
      </c>
      <c r="M174" s="19">
        <v>4115523877.5190902</v>
      </c>
      <c r="N174" s="19">
        <v>57883206.035055198</v>
      </c>
      <c r="O174" s="20">
        <v>0.31632653061224397</v>
      </c>
      <c r="P174" t="str">
        <f>TEXT(H174,"MM/DD")&amp;" "&amp;I174&amp;" ["&amp;TEXT(C174,"0")&amp;"] (dis： "&amp;TEXT(D174,"0")&amp;"，"&amp;TEXT(E174,"0.00%")&amp;" ) (vol_wei_pr："&amp;TEXT(O174,"0.00%")&amp;")"</f>
        <v>12/01 close [27343] (dis： -1029，-3.63% ) (vol_wei_pr：31.63%)</v>
      </c>
    </row>
    <row r="175" spans="1:16" ht="17.25" thickBot="1" x14ac:dyDescent="0.3">
      <c r="A175" t="s">
        <v>209</v>
      </c>
      <c r="B175" t="s">
        <v>210</v>
      </c>
      <c r="C175" s="48">
        <v>27342.53</v>
      </c>
      <c r="D175" s="52">
        <v>-1029.45</v>
      </c>
      <c r="E175" s="21">
        <v>-3.6284037983954603E-2</v>
      </c>
      <c r="F175" s="22">
        <v>7</v>
      </c>
      <c r="G175" s="23" t="s">
        <v>354</v>
      </c>
      <c r="H175" s="24">
        <v>45992</v>
      </c>
      <c r="I175" s="22" t="s">
        <v>29</v>
      </c>
      <c r="J175" s="25">
        <v>7418235597</v>
      </c>
      <c r="K175" s="25">
        <v>197681351.53488201</v>
      </c>
      <c r="L175" s="21">
        <v>0.32857142857142801</v>
      </c>
      <c r="M175" s="25">
        <v>4115523877.5190902</v>
      </c>
      <c r="N175" s="25">
        <v>57883206.035055198</v>
      </c>
      <c r="O175" s="26">
        <v>0.31632653061224397</v>
      </c>
      <c r="P175" t="str">
        <f>TEXT(H175,"MM/DD")&amp;" "&amp;I175&amp;" ["&amp;TEXT(C175,"0")&amp;"] (dis： "&amp;TEXT(D175,"0")&amp;"，"&amp;TEXT(E175,"0.00%")&amp;" ) (vol_wei_pr："&amp;TEXT(O175,"0.00%")&amp;")"</f>
        <v>12/01 min [27343] (dis： -1029，-3.63% ) (vol_wei_pr：31.63%)</v>
      </c>
    </row>
    <row r="176" spans="1:16" x14ac:dyDescent="0.25">
      <c r="A176" t="s">
        <v>209</v>
      </c>
      <c r="B176" t="s">
        <v>210</v>
      </c>
      <c r="C176" s="47">
        <v>27337.32</v>
      </c>
      <c r="D176" s="51">
        <v>-1034.6599999999901</v>
      </c>
      <c r="E176" s="15">
        <v>-3.6467669863012697E-2</v>
      </c>
      <c r="F176" s="16">
        <v>6</v>
      </c>
      <c r="G176" s="17" t="s">
        <v>355</v>
      </c>
      <c r="H176" s="18">
        <v>45946</v>
      </c>
      <c r="I176" s="16" t="s">
        <v>22</v>
      </c>
      <c r="J176" s="19">
        <v>9035460141</v>
      </c>
      <c r="K176" s="19">
        <v>176757210.850032</v>
      </c>
      <c r="L176" s="15">
        <v>0.3</v>
      </c>
      <c r="M176" s="19">
        <v>1711899577.7197599</v>
      </c>
      <c r="N176" s="19">
        <v>46274812.168473899</v>
      </c>
      <c r="O176" s="20">
        <v>0.23061224489795901</v>
      </c>
      <c r="P176" t="str">
        <f>TEXT(H176,"MM/DD")&amp;" "&amp;I176&amp;" ["&amp;TEXT(C176,"0")&amp;"] (dis： "&amp;TEXT(D176,"0")&amp;"，"&amp;TEXT(E176,"0.00%")&amp;" ) (vol_wei_pr："&amp;TEXT(O176,"0.00%")&amp;")"</f>
        <v>10/16 open [27337] (dis： -1035，-3.65% ) (vol_wei_pr：23.06%)</v>
      </c>
    </row>
    <row r="177" spans="1:16" ht="17.25" thickBot="1" x14ac:dyDescent="0.3">
      <c r="A177" t="s">
        <v>209</v>
      </c>
      <c r="B177" t="s">
        <v>210</v>
      </c>
      <c r="C177" s="48">
        <v>27337.32</v>
      </c>
      <c r="D177" s="52">
        <v>-1034.6599999999901</v>
      </c>
      <c r="E177" s="21">
        <v>-3.6467669863012697E-2</v>
      </c>
      <c r="F177" s="22">
        <v>6</v>
      </c>
      <c r="G177" s="23" t="s">
        <v>356</v>
      </c>
      <c r="H177" s="24">
        <v>45946</v>
      </c>
      <c r="I177" s="22" t="s">
        <v>29</v>
      </c>
      <c r="J177" s="25">
        <v>9035460141</v>
      </c>
      <c r="K177" s="25">
        <v>176757210.850032</v>
      </c>
      <c r="L177" s="21">
        <v>0.3</v>
      </c>
      <c r="M177" s="25">
        <v>1711899577.7197599</v>
      </c>
      <c r="N177" s="25">
        <v>46274812.168473899</v>
      </c>
      <c r="O177" s="26">
        <v>0.23061224489795901</v>
      </c>
      <c r="P177" t="str">
        <f>TEXT(H177,"MM/DD")&amp;" "&amp;I177&amp;" ["&amp;TEXT(C177,"0")&amp;"] (dis： "&amp;TEXT(D177,"0")&amp;"，"&amp;TEXT(E177,"0.00%")&amp;" ) (vol_wei_pr："&amp;TEXT(O177,"0.00%")&amp;")"</f>
        <v>10/16 min [27337] (dis： -1035，-3.65% ) (vol_wei_pr：23.06%)</v>
      </c>
    </row>
    <row r="178" spans="1:16" x14ac:dyDescent="0.25">
      <c r="A178" t="s">
        <v>209</v>
      </c>
      <c r="B178" t="s">
        <v>210</v>
      </c>
      <c r="C178" s="47">
        <v>27310.400000000001</v>
      </c>
      <c r="D178" s="51">
        <v>-1061.5799999999899</v>
      </c>
      <c r="E178" s="15">
        <v>-3.7416493314883101E-2</v>
      </c>
      <c r="F178" s="16">
        <v>6</v>
      </c>
      <c r="G178" s="17" t="s">
        <v>357</v>
      </c>
      <c r="H178" s="18">
        <v>45979</v>
      </c>
      <c r="I178" s="16" t="s">
        <v>22</v>
      </c>
      <c r="J178" s="19">
        <v>10450443082</v>
      </c>
      <c r="K178" s="19">
        <v>172763322.513062</v>
      </c>
      <c r="L178" s="15">
        <v>0.287755102040816</v>
      </c>
      <c r="M178" s="19">
        <v>4244198718.1694698</v>
      </c>
      <c r="N178" s="19">
        <v>49603068.898948401</v>
      </c>
      <c r="O178" s="20">
        <v>0.287755102040816</v>
      </c>
      <c r="P178" t="str">
        <f>TEXT(H178,"MM/DD")&amp;" "&amp;I178&amp;" ["&amp;TEXT(C178,"0")&amp;"] (dis： "&amp;TEXT(D178,"0")&amp;"，"&amp;TEXT(E178,"0.00%")&amp;" ) (vol_wei_pr："&amp;TEXT(O178,"0.00%")&amp;")"</f>
        <v>11/18 open [27310] (dis： -1062，-3.74% ) (vol_wei_pr：28.78%)</v>
      </c>
    </row>
    <row r="179" spans="1:16" x14ac:dyDescent="0.25">
      <c r="A179" t="s">
        <v>209</v>
      </c>
      <c r="B179" t="s">
        <v>210</v>
      </c>
      <c r="C179" s="49">
        <v>27310.400000000001</v>
      </c>
      <c r="D179" s="53">
        <v>-1061.5799999999899</v>
      </c>
      <c r="E179" s="27">
        <v>-3.7416493314883101E-2</v>
      </c>
      <c r="F179" s="28">
        <v>6</v>
      </c>
      <c r="G179" s="29" t="s">
        <v>358</v>
      </c>
      <c r="H179" s="30">
        <v>45979</v>
      </c>
      <c r="I179" s="28" t="s">
        <v>17</v>
      </c>
      <c r="J179" s="31">
        <v>10450443082</v>
      </c>
      <c r="K179" s="31">
        <v>172763322.513062</v>
      </c>
      <c r="L179" s="27">
        <v>0.287755102040816</v>
      </c>
      <c r="M179" s="31">
        <v>4244198718.1694698</v>
      </c>
      <c r="N179" s="31">
        <v>49603068.898948401</v>
      </c>
      <c r="O179" s="32">
        <v>0.287755102040816</v>
      </c>
      <c r="P179" t="str">
        <f>TEXT(H179,"MM/DD")&amp;" "&amp;I179&amp;" ["&amp;TEXT(C179,"0")&amp;"] (dis： "&amp;TEXT(D179,"0")&amp;"，"&amp;TEXT(E179,"0.00%")&amp;" ) (vol_wei_pr："&amp;TEXT(O179,"0.00%")&amp;")"</f>
        <v>11/18 max [27310] (dis： -1062，-3.74% ) (vol_wei_pr：28.78%)</v>
      </c>
    </row>
    <row r="180" spans="1:16" x14ac:dyDescent="0.25">
      <c r="A180" t="s">
        <v>209</v>
      </c>
      <c r="B180" t="s">
        <v>210</v>
      </c>
      <c r="C180" s="49">
        <v>27302.37</v>
      </c>
      <c r="D180" s="53">
        <v>-1069.6099999999999</v>
      </c>
      <c r="E180" s="27">
        <v>-3.7699519032510197E-2</v>
      </c>
      <c r="F180" s="28">
        <v>6</v>
      </c>
      <c r="G180" s="29" t="s">
        <v>359</v>
      </c>
      <c r="H180" s="30">
        <v>45947</v>
      </c>
      <c r="I180" s="28" t="s">
        <v>20</v>
      </c>
      <c r="J180" s="31">
        <v>8962849575</v>
      </c>
      <c r="K180" s="31">
        <v>172763322.513062</v>
      </c>
      <c r="L180" s="27">
        <v>0.287755102040816</v>
      </c>
      <c r="M180" s="31">
        <v>1758027312.09641</v>
      </c>
      <c r="N180" s="31">
        <v>49603068.898948401</v>
      </c>
      <c r="O180" s="32">
        <v>0.287755102040816</v>
      </c>
      <c r="P180" t="str">
        <f>TEXT(H180,"MM/DD")&amp;" "&amp;I180&amp;" ["&amp;TEXT(C180,"0")&amp;"] (dis： "&amp;TEXT(D180,"0")&amp;"，"&amp;TEXT(E180,"0.00%")&amp;" ) (vol_wei_pr："&amp;TEXT(O180,"0.00%")&amp;")"</f>
        <v>10/17 close [27302] (dis： -1070，-3.77% ) (vol_wei_pr：28.78%)</v>
      </c>
    </row>
    <row r="181" spans="1:16" ht="17.25" thickBot="1" x14ac:dyDescent="0.3">
      <c r="A181" t="s">
        <v>209</v>
      </c>
      <c r="B181" t="s">
        <v>210</v>
      </c>
      <c r="C181" s="48">
        <v>27302.37</v>
      </c>
      <c r="D181" s="52">
        <v>-1069.6099999999999</v>
      </c>
      <c r="E181" s="21">
        <v>-3.7699519032510197E-2</v>
      </c>
      <c r="F181" s="22">
        <v>6</v>
      </c>
      <c r="G181" s="23" t="s">
        <v>360</v>
      </c>
      <c r="H181" s="24">
        <v>45947</v>
      </c>
      <c r="I181" s="22" t="s">
        <v>29</v>
      </c>
      <c r="J181" s="25">
        <v>8962849575</v>
      </c>
      <c r="K181" s="25">
        <v>172763322.513062</v>
      </c>
      <c r="L181" s="21">
        <v>0.287755102040816</v>
      </c>
      <c r="M181" s="25">
        <v>1758027312.09641</v>
      </c>
      <c r="N181" s="25">
        <v>49603068.898948401</v>
      </c>
      <c r="O181" s="26">
        <v>0.287755102040816</v>
      </c>
      <c r="P181" t="str">
        <f>TEXT(H181,"MM/DD")&amp;" "&amp;I181&amp;" ["&amp;TEXT(C181,"0")&amp;"] (dis： "&amp;TEXT(D181,"0")&amp;"，"&amp;TEXT(E181,"0.00%")&amp;" ) (vol_wei_pr："&amp;TEXT(O181,"0.00%")&amp;")"</f>
        <v>10/17 min [27302] (dis： -1070，-3.77% ) (vol_wei_pr：28.78%)</v>
      </c>
    </row>
    <row r="182" spans="1:16" x14ac:dyDescent="0.25">
      <c r="A182" t="s">
        <v>209</v>
      </c>
      <c r="B182" t="s">
        <v>210</v>
      </c>
      <c r="C182" s="47">
        <v>27301.919999999998</v>
      </c>
      <c r="D182" s="51">
        <v>-1070.06</v>
      </c>
      <c r="E182" s="15">
        <v>-3.77153797514308E-2</v>
      </c>
      <c r="F182" s="16">
        <v>5</v>
      </c>
      <c r="G182" s="17" t="s">
        <v>361</v>
      </c>
      <c r="H182" s="18">
        <v>45939</v>
      </c>
      <c r="I182" s="16" t="s">
        <v>20</v>
      </c>
      <c r="J182" s="19">
        <v>9444331803</v>
      </c>
      <c r="K182" s="19">
        <v>130228918.68333501</v>
      </c>
      <c r="L182" s="15">
        <v>0.17346938775510201</v>
      </c>
      <c r="M182" s="19">
        <v>1557733815.75281</v>
      </c>
      <c r="N182" s="19">
        <v>41260114.684367903</v>
      </c>
      <c r="O182" s="20">
        <v>0.16938775510203999</v>
      </c>
      <c r="P182" t="str">
        <f>TEXT(H182,"MM/DD")&amp;" "&amp;I182&amp;" ["&amp;TEXT(C182,"0")&amp;"] (dis： "&amp;TEXT(D182,"0")&amp;"，"&amp;TEXT(E182,"0.00%")&amp;" ) (vol_wei_pr："&amp;TEXT(O182,"0.00%")&amp;")"</f>
        <v>10/09 close [27302] (dis： -1070，-3.77% ) (vol_wei_pr：16.94%)</v>
      </c>
    </row>
    <row r="183" spans="1:16" ht="17.25" thickBot="1" x14ac:dyDescent="0.3">
      <c r="A183" t="s">
        <v>209</v>
      </c>
      <c r="B183" t="s">
        <v>210</v>
      </c>
      <c r="C183" s="48">
        <v>27301.61</v>
      </c>
      <c r="D183" s="52">
        <v>-1070.3699999999899</v>
      </c>
      <c r="E183" s="21">
        <v>-3.7726306024464903E-2</v>
      </c>
      <c r="F183" s="22">
        <v>5</v>
      </c>
      <c r="G183" s="23" t="s">
        <v>362</v>
      </c>
      <c r="H183" s="24">
        <v>45939</v>
      </c>
      <c r="I183" s="22" t="s">
        <v>22</v>
      </c>
      <c r="J183" s="25">
        <v>9444331803</v>
      </c>
      <c r="K183" s="25">
        <v>130228918.68333501</v>
      </c>
      <c r="L183" s="21">
        <v>0.17346938775510201</v>
      </c>
      <c r="M183" s="25">
        <v>1557733815.75281</v>
      </c>
      <c r="N183" s="25">
        <v>41260114.684367903</v>
      </c>
      <c r="O183" s="26">
        <v>0.16938775510203999</v>
      </c>
      <c r="P183" t="str">
        <f>TEXT(H183,"MM/DD")&amp;" "&amp;I183&amp;" ["&amp;TEXT(C183,"0")&amp;"] (dis： "&amp;TEXT(D183,"0")&amp;"，"&amp;TEXT(E183,"0.00%")&amp;" ) (vol_wei_pr："&amp;TEXT(O183,"0.00%")&amp;")"</f>
        <v>10/09 open [27302] (dis： -1070，-3.77% ) (vol_wei_pr：16.94%)</v>
      </c>
    </row>
    <row r="184" spans="1:16" x14ac:dyDescent="0.25">
      <c r="A184" t="s">
        <v>209</v>
      </c>
      <c r="B184" t="s">
        <v>210</v>
      </c>
      <c r="C184" s="47">
        <v>27301.42</v>
      </c>
      <c r="D184" s="51">
        <v>-1070.56</v>
      </c>
      <c r="E184" s="15">
        <v>-3.77330027724537E-2</v>
      </c>
      <c r="F184" s="16">
        <v>6</v>
      </c>
      <c r="G184" s="17" t="s">
        <v>363</v>
      </c>
      <c r="H184" s="18">
        <v>45937</v>
      </c>
      <c r="I184" s="16" t="s">
        <v>17</v>
      </c>
      <c r="J184" s="19">
        <v>9348656371</v>
      </c>
      <c r="K184" s="19">
        <v>163107361.29077801</v>
      </c>
      <c r="L184" s="15">
        <v>0.25918367346938698</v>
      </c>
      <c r="M184" s="19">
        <v>1438693257.92975</v>
      </c>
      <c r="N184" s="19">
        <v>46319878.551322103</v>
      </c>
      <c r="O184" s="20">
        <v>0.238775510204081</v>
      </c>
      <c r="P184" t="str">
        <f>TEXT(H184,"MM/DD")&amp;" "&amp;I184&amp;" ["&amp;TEXT(C184,"0")&amp;"] (dis： "&amp;TEXT(D184,"0")&amp;"，"&amp;TEXT(E184,"0.00%")&amp;" ) (vol_wei_pr："&amp;TEXT(O184,"0.00%")&amp;")"</f>
        <v>10/07 max [27301] (dis： -1071，-3.77% ) (vol_wei_pr：23.88%)</v>
      </c>
    </row>
    <row r="185" spans="1:16" ht="17.25" thickBot="1" x14ac:dyDescent="0.3">
      <c r="A185" t="s">
        <v>209</v>
      </c>
      <c r="B185" t="s">
        <v>210</v>
      </c>
      <c r="C185" s="48">
        <v>27282.1</v>
      </c>
      <c r="D185" s="52">
        <v>-1089.8800000000001</v>
      </c>
      <c r="E185" s="21">
        <v>-3.8413956304776703E-2</v>
      </c>
      <c r="F185" s="22">
        <v>6</v>
      </c>
      <c r="G185" s="23" t="s">
        <v>364</v>
      </c>
      <c r="H185" s="24">
        <v>45944</v>
      </c>
      <c r="I185" s="22" t="s">
        <v>22</v>
      </c>
      <c r="J185" s="25">
        <v>12066540173</v>
      </c>
      <c r="K185" s="25">
        <v>163107361.29077801</v>
      </c>
      <c r="L185" s="21">
        <v>0.25918367346938698</v>
      </c>
      <c r="M185" s="25">
        <v>2133083095.4470401</v>
      </c>
      <c r="N185" s="25">
        <v>46319878.551322103</v>
      </c>
      <c r="O185" s="26">
        <v>0.238775510204081</v>
      </c>
      <c r="P185" t="str">
        <f>TEXT(H185,"MM/DD")&amp;" "&amp;I185&amp;" ["&amp;TEXT(C185,"0")&amp;"] (dis： "&amp;TEXT(D185,"0")&amp;"，"&amp;TEXT(E185,"0.00%")&amp;" ) (vol_wei_pr："&amp;TEXT(O185,"0.00%")&amp;")"</f>
        <v>10/14 open [27282] (dis： -1090，-3.84% ) (vol_wei_pr：23.88%)</v>
      </c>
    </row>
    <row r="186" spans="1:16" x14ac:dyDescent="0.25">
      <c r="A186" t="s">
        <v>209</v>
      </c>
      <c r="B186" t="s">
        <v>210</v>
      </c>
      <c r="C186" s="47">
        <v>27275.71</v>
      </c>
      <c r="D186" s="51">
        <v>-1096.27</v>
      </c>
      <c r="E186" s="15">
        <v>-3.8639178513448801E-2</v>
      </c>
      <c r="F186" s="16">
        <v>7</v>
      </c>
      <c r="G186" s="17" t="s">
        <v>365</v>
      </c>
      <c r="H186" s="18">
        <v>45945</v>
      </c>
      <c r="I186" s="16" t="s">
        <v>20</v>
      </c>
      <c r="J186" s="19">
        <v>8387861014</v>
      </c>
      <c r="K186" s="19">
        <v>179797629.14735201</v>
      </c>
      <c r="L186" s="15">
        <v>0.31020408163265301</v>
      </c>
      <c r="M186" s="19">
        <v>1535068416.2721701</v>
      </c>
      <c r="N186" s="19">
        <v>49374376.3551111</v>
      </c>
      <c r="O186" s="20">
        <v>0.27346938775510199</v>
      </c>
      <c r="P186" t="str">
        <f>TEXT(H186,"MM/DD")&amp;" "&amp;I186&amp;" ["&amp;TEXT(C186,"0")&amp;"] (dis： "&amp;TEXT(D186,"0")&amp;"，"&amp;TEXT(E186,"0.00%")&amp;" ) (vol_wei_pr："&amp;TEXT(O186,"0.00%")&amp;")"</f>
        <v>10/15 close [27276] (dis： -1096，-3.86% ) (vol_wei_pr：27.35%)</v>
      </c>
    </row>
    <row r="187" spans="1:16" x14ac:dyDescent="0.25">
      <c r="A187" t="s">
        <v>209</v>
      </c>
      <c r="B187" t="s">
        <v>210</v>
      </c>
      <c r="C187" s="49">
        <v>27275.71</v>
      </c>
      <c r="D187" s="53">
        <v>-1096.27</v>
      </c>
      <c r="E187" s="27">
        <v>-3.8639178513448801E-2</v>
      </c>
      <c r="F187" s="28">
        <v>7</v>
      </c>
      <c r="G187" s="29" t="s">
        <v>366</v>
      </c>
      <c r="H187" s="30">
        <v>45945</v>
      </c>
      <c r="I187" s="28" t="s">
        <v>17</v>
      </c>
      <c r="J187" s="31">
        <v>8387861014</v>
      </c>
      <c r="K187" s="31">
        <v>179797629.14735201</v>
      </c>
      <c r="L187" s="27">
        <v>0.31020408163265301</v>
      </c>
      <c r="M187" s="31">
        <v>1535068416.2721701</v>
      </c>
      <c r="N187" s="31">
        <v>49374376.3551111</v>
      </c>
      <c r="O187" s="32">
        <v>0.27346938775510199</v>
      </c>
      <c r="P187" t="str">
        <f>TEXT(H187,"MM/DD")&amp;" "&amp;I187&amp;" ["&amp;TEXT(C187,"0")&amp;"] (dis： "&amp;TEXT(D187,"0")&amp;"，"&amp;TEXT(E187,"0.00%")&amp;" ) (vol_wei_pr："&amp;TEXT(O187,"0.00%")&amp;")"</f>
        <v>10/15 max [27276] (dis： -1096，-3.86% ) (vol_wei_pr：27.35%)</v>
      </c>
    </row>
    <row r="188" spans="1:16" ht="17.25" thickBot="1" x14ac:dyDescent="0.3">
      <c r="A188" t="s">
        <v>209</v>
      </c>
      <c r="B188" t="s">
        <v>210</v>
      </c>
      <c r="C188" s="48">
        <v>27253.07</v>
      </c>
      <c r="D188" s="52">
        <v>-1118.9099999999901</v>
      </c>
      <c r="E188" s="21">
        <v>-3.9437148905363602E-2</v>
      </c>
      <c r="F188" s="22">
        <v>7</v>
      </c>
      <c r="G188" s="23" t="s">
        <v>367</v>
      </c>
      <c r="H188" s="24">
        <v>45939</v>
      </c>
      <c r="I188" s="22" t="s">
        <v>29</v>
      </c>
      <c r="J188" s="25">
        <v>9444331803</v>
      </c>
      <c r="K188" s="25">
        <v>179797629.14735201</v>
      </c>
      <c r="L188" s="21">
        <v>0.31020408163265301</v>
      </c>
      <c r="M188" s="25">
        <v>1557733815.75281</v>
      </c>
      <c r="N188" s="25">
        <v>49374376.3551111</v>
      </c>
      <c r="O188" s="26">
        <v>0.27346938775510199</v>
      </c>
      <c r="P188" t="str">
        <f>TEXT(H188,"MM/DD")&amp;" "&amp;I188&amp;" ["&amp;TEXT(C188,"0")&amp;"] (dis： "&amp;TEXT(D188,"0")&amp;"，"&amp;TEXT(E188,"0.00%")&amp;" ) (vol_wei_pr："&amp;TEXT(O188,"0.00%")&amp;")"</f>
        <v>10/09 min [27253] (dis： -1119，-3.94% ) (vol_wei_pr：27.35%)</v>
      </c>
    </row>
    <row r="189" spans="1:16" x14ac:dyDescent="0.25">
      <c r="A189" t="s">
        <v>209</v>
      </c>
      <c r="B189" t="s">
        <v>210</v>
      </c>
      <c r="C189" s="46">
        <v>27212.91</v>
      </c>
      <c r="D189" s="46">
        <v>-1159.0699999999899</v>
      </c>
      <c r="E189" s="4">
        <v>-4.0852629953919299E-2</v>
      </c>
      <c r="F189" s="6">
        <v>6</v>
      </c>
      <c r="G189" s="10" t="s">
        <v>368</v>
      </c>
      <c r="H189" s="11">
        <v>45981</v>
      </c>
      <c r="I189" s="6" t="s">
        <v>22</v>
      </c>
      <c r="J189" s="8">
        <v>8497528679</v>
      </c>
      <c r="K189" s="8">
        <v>134835325.871941</v>
      </c>
      <c r="L189" s="4">
        <v>0.19183673469387699</v>
      </c>
      <c r="M189" s="8">
        <v>3698764189.0642099</v>
      </c>
      <c r="N189" s="8">
        <v>41958361.997801803</v>
      </c>
      <c r="O189" s="4">
        <v>0.17959183673469301</v>
      </c>
      <c r="P189" t="str">
        <f>TEXT(H189,"MM/DD")&amp;" "&amp;I189&amp;" ["&amp;TEXT(C189,"0")&amp;"] (dis： "&amp;TEXT(D189,"0")&amp;"，"&amp;TEXT(E189,"0.00%")&amp;" ) (vol_wei_pr："&amp;TEXT(O189,"0.00%")&amp;")"</f>
        <v>11/20 open [27213] (dis： -1159，-4.09% ) (vol_wei_pr：17.96%)</v>
      </c>
    </row>
    <row r="190" spans="1:16" x14ac:dyDescent="0.25">
      <c r="A190" t="s">
        <v>209</v>
      </c>
      <c r="B190" t="s">
        <v>210</v>
      </c>
      <c r="C190" s="46">
        <v>27211.95</v>
      </c>
      <c r="D190" s="46">
        <v>-1160.02999999999</v>
      </c>
      <c r="E190" s="4">
        <v>-4.0886466154283103E-2</v>
      </c>
      <c r="F190" s="6">
        <v>6</v>
      </c>
      <c r="G190" s="10" t="s">
        <v>369</v>
      </c>
      <c r="H190" s="11">
        <v>45937</v>
      </c>
      <c r="I190" s="6" t="s">
        <v>20</v>
      </c>
      <c r="J190" s="8">
        <v>9348656371</v>
      </c>
      <c r="K190" s="8">
        <v>134835325.871941</v>
      </c>
      <c r="L190" s="4">
        <v>0.19183673469387699</v>
      </c>
      <c r="M190" s="8">
        <v>1438693257.92975</v>
      </c>
      <c r="N190" s="8">
        <v>41958361.997801803</v>
      </c>
      <c r="O190" s="4">
        <v>0.17959183673469301</v>
      </c>
      <c r="P190" t="str">
        <f>TEXT(H190,"MM/DD")&amp;" "&amp;I190&amp;" ["&amp;TEXT(C190,"0")&amp;"] (dis： "&amp;TEXT(D190,"0")&amp;"，"&amp;TEXT(E190,"0.00%")&amp;" ) (vol_wei_pr："&amp;TEXT(O190,"0.00%")&amp;")"</f>
        <v>10/07 close [27212] (dis： -1160，-4.09% ) (vol_wei_pr：17.96%)</v>
      </c>
    </row>
    <row r="191" spans="1:16" x14ac:dyDescent="0.25">
      <c r="A191" t="s">
        <v>209</v>
      </c>
      <c r="B191" t="s">
        <v>210</v>
      </c>
      <c r="C191" s="46">
        <v>27183.03</v>
      </c>
      <c r="D191" s="46">
        <v>-1188.95</v>
      </c>
      <c r="E191" s="4">
        <v>-4.19057816902451E-2</v>
      </c>
      <c r="F191" s="6">
        <v>6</v>
      </c>
      <c r="G191" s="10" t="s">
        <v>370</v>
      </c>
      <c r="H191" s="11">
        <v>45981</v>
      </c>
      <c r="I191" s="6" t="s">
        <v>29</v>
      </c>
      <c r="J191" s="8">
        <v>8497528679</v>
      </c>
      <c r="K191" s="8">
        <v>134835325.871941</v>
      </c>
      <c r="L191" s="4">
        <v>0.19183673469387699</v>
      </c>
      <c r="M191" s="8">
        <v>3698764189.0642099</v>
      </c>
      <c r="N191" s="8">
        <v>41958361.997801803</v>
      </c>
      <c r="O191" s="4">
        <v>0.17959183673469301</v>
      </c>
      <c r="P191" t="str">
        <f>TEXT(H191,"MM/DD")&amp;" "&amp;I191&amp;" ["&amp;TEXT(C191,"0")&amp;"] (dis： "&amp;TEXT(D191,"0")&amp;"，"&amp;TEXT(E191,"0.00%")&amp;" ) (vol_wei_pr："&amp;TEXT(O191,"0.00%")&amp;")"</f>
        <v>11/20 min [27183] (dis： -1189，-4.19% ) (vol_wei_pr：17.96%)</v>
      </c>
    </row>
    <row r="192" spans="1:16" x14ac:dyDescent="0.25">
      <c r="A192" t="s">
        <v>209</v>
      </c>
      <c r="B192" t="s">
        <v>210</v>
      </c>
      <c r="C192" s="46">
        <v>27118.02</v>
      </c>
      <c r="D192" s="46">
        <v>-1253.95999999999</v>
      </c>
      <c r="E192" s="4">
        <v>-4.4197126883636501E-2</v>
      </c>
      <c r="F192" s="6">
        <v>6</v>
      </c>
      <c r="G192" s="10" t="s">
        <v>371</v>
      </c>
      <c r="H192" s="11">
        <v>45986</v>
      </c>
      <c r="I192" s="6" t="s">
        <v>17</v>
      </c>
      <c r="J192" s="8">
        <v>6714625759</v>
      </c>
      <c r="K192" s="8">
        <v>128181238.703895</v>
      </c>
      <c r="L192" s="4">
        <v>0.15102040816326501</v>
      </c>
      <c r="M192" s="8">
        <v>3242950477.8763299</v>
      </c>
      <c r="N192" s="8">
        <v>40049452.177342303</v>
      </c>
      <c r="O192" s="4">
        <v>0.163265306122448</v>
      </c>
      <c r="P192" t="str">
        <f>TEXT(H192,"MM/DD")&amp;" "&amp;I192&amp;" ["&amp;TEXT(C192,"0")&amp;"] (dis： "&amp;TEXT(D192,"0")&amp;"，"&amp;TEXT(E192,"0.00%")&amp;" ) (vol_wei_pr："&amp;TEXT(O192,"0.00%")&amp;")"</f>
        <v>11/25 max [27118] (dis： -1254，-4.42% ) (vol_wei_pr：16.33%)</v>
      </c>
    </row>
    <row r="193" spans="1:16" x14ac:dyDescent="0.25">
      <c r="A193" t="s">
        <v>209</v>
      </c>
      <c r="B193" t="s">
        <v>210</v>
      </c>
      <c r="C193" s="46">
        <v>27110.43</v>
      </c>
      <c r="D193" s="46">
        <v>-1261.54999999999</v>
      </c>
      <c r="E193" s="4">
        <v>-4.4464644342763503E-2</v>
      </c>
      <c r="F193" s="6">
        <v>7</v>
      </c>
      <c r="G193" s="10" t="s">
        <v>372</v>
      </c>
      <c r="H193" s="11">
        <v>45938</v>
      </c>
      <c r="I193" s="6" t="s">
        <v>17</v>
      </c>
      <c r="J193" s="8">
        <v>8261189883</v>
      </c>
      <c r="K193" s="8">
        <v>164664147.56716999</v>
      </c>
      <c r="L193" s="4">
        <v>0.27142857142857102</v>
      </c>
      <c r="M193" s="8">
        <v>1316173419.96</v>
      </c>
      <c r="N193" s="8">
        <v>45861912.078243203</v>
      </c>
      <c r="O193" s="4">
        <v>0.21836734693877499</v>
      </c>
      <c r="P193" t="str">
        <f>TEXT(H193,"MM/DD")&amp;" "&amp;I193&amp;" ["&amp;TEXT(C193,"0")&amp;"] (dis： "&amp;TEXT(D193,"0")&amp;"，"&amp;TEXT(E193,"0.00%")&amp;" ) (vol_wei_pr："&amp;TEXT(O193,"0.00%")&amp;")"</f>
        <v>10/08 max [27110] (dis： -1262，-4.45% ) (vol_wei_pr：21.84%)</v>
      </c>
    </row>
    <row r="194" spans="1:16" x14ac:dyDescent="0.25">
      <c r="A194" t="s">
        <v>209</v>
      </c>
      <c r="B194" t="s">
        <v>210</v>
      </c>
      <c r="C194" s="46">
        <v>27063.68</v>
      </c>
      <c r="D194" s="46">
        <v>-1308.29999999999</v>
      </c>
      <c r="E194" s="4">
        <v>-4.6112396808400298E-2</v>
      </c>
      <c r="F194" s="6">
        <v>7</v>
      </c>
      <c r="G194" s="10" t="s">
        <v>373</v>
      </c>
      <c r="H194" s="11">
        <v>45938</v>
      </c>
      <c r="I194" s="6" t="s">
        <v>20</v>
      </c>
      <c r="J194" s="8">
        <v>8261189883</v>
      </c>
      <c r="K194" s="8">
        <v>164664147.56716999</v>
      </c>
      <c r="L194" s="4">
        <v>0.27142857142857102</v>
      </c>
      <c r="M194" s="8">
        <v>1316173419.96</v>
      </c>
      <c r="N194" s="8">
        <v>45861912.078243203</v>
      </c>
      <c r="O194" s="4">
        <v>0.21836734693877499</v>
      </c>
      <c r="P194" t="str">
        <f>TEXT(H194,"MM/DD")&amp;" "&amp;I194&amp;" ["&amp;TEXT(C194,"0")&amp;"] (dis： "&amp;TEXT(D194,"0")&amp;"，"&amp;TEXT(E194,"0.00%")&amp;" ) (vol_wei_pr："&amp;TEXT(O194,"0.00%")&amp;")"</f>
        <v>10/08 close [27064] (dis： -1308，-4.61% ) (vol_wei_pr：21.84%)</v>
      </c>
    </row>
    <row r="195" spans="1:16" x14ac:dyDescent="0.25">
      <c r="A195" t="s">
        <v>209</v>
      </c>
      <c r="B195" t="s">
        <v>210</v>
      </c>
      <c r="C195" s="46">
        <v>27063.17</v>
      </c>
      <c r="D195" s="46">
        <v>-1308.81</v>
      </c>
      <c r="E195" s="4">
        <v>-4.61303722898437E-2</v>
      </c>
      <c r="F195" s="6">
        <v>7</v>
      </c>
      <c r="G195" s="10" t="s">
        <v>374</v>
      </c>
      <c r="H195" s="11">
        <v>45987</v>
      </c>
      <c r="I195" s="6" t="s">
        <v>22</v>
      </c>
      <c r="J195" s="8">
        <v>7902773415</v>
      </c>
      <c r="K195" s="8">
        <v>164664147.56716999</v>
      </c>
      <c r="L195" s="4">
        <v>0.27142857142857102</v>
      </c>
      <c r="M195" s="8">
        <v>3951386707.5</v>
      </c>
      <c r="N195" s="8">
        <v>45861912.078243203</v>
      </c>
      <c r="O195" s="4">
        <v>0.21836734693877499</v>
      </c>
      <c r="P195" t="str">
        <f>TEXT(H195,"MM/DD")&amp;" "&amp;I195&amp;" ["&amp;TEXT(C195,"0")&amp;"] (dis： "&amp;TEXT(D195,"0")&amp;"，"&amp;TEXT(E195,"0.00%")&amp;" ) (vol_wei_pr："&amp;TEXT(O195,"0.00%")&amp;")"</f>
        <v>11/26 open [27063] (dis： -1309，-4.61% ) (vol_wei_pr：21.84%)</v>
      </c>
    </row>
    <row r="196" spans="1:16" x14ac:dyDescent="0.25">
      <c r="A196" t="s">
        <v>209</v>
      </c>
      <c r="B196" t="s">
        <v>210</v>
      </c>
      <c r="C196" s="46">
        <v>27063.17</v>
      </c>
      <c r="D196" s="46">
        <v>-1308.81</v>
      </c>
      <c r="E196" s="4">
        <v>-4.61303722898437E-2</v>
      </c>
      <c r="F196" s="6">
        <v>7</v>
      </c>
      <c r="G196" s="10" t="s">
        <v>375</v>
      </c>
      <c r="H196" s="11">
        <v>45987</v>
      </c>
      <c r="I196" s="6" t="s">
        <v>29</v>
      </c>
      <c r="J196" s="8">
        <v>7902773415</v>
      </c>
      <c r="K196" s="8">
        <v>164664147.56716999</v>
      </c>
      <c r="L196" s="4">
        <v>0.27142857142857102</v>
      </c>
      <c r="M196" s="8">
        <v>3951386707.5</v>
      </c>
      <c r="N196" s="8">
        <v>45861912.078243203</v>
      </c>
      <c r="O196" s="4">
        <v>0.21836734693877499</v>
      </c>
      <c r="P196" t="str">
        <f>TEXT(H196,"MM/DD")&amp;" "&amp;I196&amp;" ["&amp;TEXT(C196,"0")&amp;"] (dis： "&amp;TEXT(D196,"0")&amp;"，"&amp;TEXT(E196,"0.00%")&amp;" ) (vol_wei_pr："&amp;TEXT(O196,"0.00%")&amp;")"</f>
        <v>11/26 min [27063] (dis： -1309，-4.61% ) (vol_wei_pr：21.84%)</v>
      </c>
    </row>
    <row r="197" spans="1:16" x14ac:dyDescent="0.25">
      <c r="A197" t="s">
        <v>209</v>
      </c>
      <c r="B197" t="s">
        <v>210</v>
      </c>
      <c r="C197" s="46">
        <v>27029.279999999999</v>
      </c>
      <c r="D197" s="46">
        <v>-1342.7</v>
      </c>
      <c r="E197" s="4">
        <v>-4.7324860654772802E-2</v>
      </c>
      <c r="F197" s="6">
        <v>6</v>
      </c>
      <c r="G197" s="10" t="s">
        <v>376</v>
      </c>
      <c r="H197" s="11">
        <v>45937</v>
      </c>
      <c r="I197" s="6" t="s">
        <v>22</v>
      </c>
      <c r="J197" s="8">
        <v>9348656371</v>
      </c>
      <c r="K197" s="8">
        <v>141848160.573493</v>
      </c>
      <c r="L197" s="4">
        <v>0.23061224489795901</v>
      </c>
      <c r="M197" s="8">
        <v>1438693257.92975</v>
      </c>
      <c r="N197" s="8">
        <v>34453918.581404701</v>
      </c>
      <c r="O197" s="4">
        <v>0.13673469387755099</v>
      </c>
      <c r="P197" t="str">
        <f>TEXT(H197,"MM/DD")&amp;" "&amp;I197&amp;" ["&amp;TEXT(C197,"0")&amp;"] (dis： "&amp;TEXT(D197,"0")&amp;"，"&amp;TEXT(E197,"0.00%")&amp;" ) (vol_wei_pr："&amp;TEXT(O197,"0.00%")&amp;")"</f>
        <v>10/07 open [27029] (dis： -1343，-4.73% ) (vol_wei_pr：13.67%)</v>
      </c>
    </row>
    <row r="198" spans="1:16" x14ac:dyDescent="0.25">
      <c r="A198" t="s">
        <v>209</v>
      </c>
      <c r="B198" t="s">
        <v>210</v>
      </c>
      <c r="C198" s="46">
        <v>27017.08</v>
      </c>
      <c r="D198" s="46">
        <v>-1354.8999999999901</v>
      </c>
      <c r="E198" s="4">
        <v>-4.77548623677303E-2</v>
      </c>
      <c r="F198" s="6">
        <v>6</v>
      </c>
      <c r="G198" s="10" t="s">
        <v>377</v>
      </c>
      <c r="H198" s="11">
        <v>45937</v>
      </c>
      <c r="I198" s="6" t="s">
        <v>29</v>
      </c>
      <c r="J198" s="8">
        <v>9348656371</v>
      </c>
      <c r="K198" s="8">
        <v>141848160.573493</v>
      </c>
      <c r="L198" s="4">
        <v>0.23061224489795901</v>
      </c>
      <c r="M198" s="8">
        <v>1438693257.92975</v>
      </c>
      <c r="N198" s="8">
        <v>34453918.581404701</v>
      </c>
      <c r="O198" s="4">
        <v>0.13673469387755099</v>
      </c>
      <c r="P198" t="str">
        <f>TEXT(H198,"MM/DD")&amp;" "&amp;I198&amp;" ["&amp;TEXT(C198,"0")&amp;"] (dis： "&amp;TEXT(D198,"0")&amp;"，"&amp;TEXT(E198,"0.00%")&amp;" ) (vol_wei_pr："&amp;TEXT(O198,"0.00%")&amp;")"</f>
        <v>10/07 min [27017] (dis： -1355，-4.78% ) (vol_wei_pr：13.67%)</v>
      </c>
    </row>
    <row r="199" spans="1:16" x14ac:dyDescent="0.25">
      <c r="A199" t="s">
        <v>209</v>
      </c>
      <c r="B199" t="s">
        <v>210</v>
      </c>
      <c r="C199" s="46">
        <v>26999.82</v>
      </c>
      <c r="D199" s="46">
        <v>-1372.1599999999901</v>
      </c>
      <c r="E199" s="4">
        <v>-4.8363209053439299E-2</v>
      </c>
      <c r="F199" s="6">
        <v>5</v>
      </c>
      <c r="G199" s="10" t="s">
        <v>378</v>
      </c>
      <c r="H199" s="11">
        <v>45938</v>
      </c>
      <c r="I199" s="6" t="s">
        <v>22</v>
      </c>
      <c r="J199" s="8">
        <v>8261189883</v>
      </c>
      <c r="K199" s="8">
        <v>108969717.966051</v>
      </c>
      <c r="L199" s="4">
        <v>0.108163265306122</v>
      </c>
      <c r="M199" s="8">
        <v>1316173419.96</v>
      </c>
      <c r="N199" s="8">
        <v>29394154.7144504</v>
      </c>
      <c r="O199" s="4">
        <v>0.108163265306122</v>
      </c>
      <c r="P199" t="str">
        <f>TEXT(H199,"MM/DD")&amp;" "&amp;I199&amp;" ["&amp;TEXT(C199,"0")&amp;"] (dis： "&amp;TEXT(D199,"0")&amp;"，"&amp;TEXT(E199,"0.00%")&amp;" ) (vol_wei_pr："&amp;TEXT(O199,"0.00%")&amp;")"</f>
        <v>10/08 open [27000] (dis： -1372，-4.84% ) (vol_wei_pr：10.82%)</v>
      </c>
    </row>
    <row r="200" spans="1:16" x14ac:dyDescent="0.25">
      <c r="A200" t="s">
        <v>209</v>
      </c>
      <c r="B200" t="s">
        <v>210</v>
      </c>
      <c r="C200" s="46">
        <v>26995.9</v>
      </c>
      <c r="D200" s="46">
        <v>-1376.0799999999899</v>
      </c>
      <c r="E200" s="4">
        <v>-4.8501373538258397E-2</v>
      </c>
      <c r="F200" s="6">
        <v>5</v>
      </c>
      <c r="G200" s="10" t="s">
        <v>378</v>
      </c>
      <c r="H200" s="11">
        <v>45986</v>
      </c>
      <c r="I200" s="6" t="s">
        <v>22</v>
      </c>
      <c r="J200" s="8">
        <v>6714625759</v>
      </c>
      <c r="K200" s="8">
        <v>108969717.966051</v>
      </c>
      <c r="L200" s="4">
        <v>0.108163265306122</v>
      </c>
      <c r="M200" s="8">
        <v>3242950477.8763299</v>
      </c>
      <c r="N200" s="8">
        <v>29394154.7144504</v>
      </c>
      <c r="O200" s="4">
        <v>0.108163265306122</v>
      </c>
      <c r="P200" t="str">
        <f>TEXT(H200,"MM/DD")&amp;" "&amp;I200&amp;" ["&amp;TEXT(C200,"0")&amp;"] (dis： "&amp;TEXT(D200,"0")&amp;"，"&amp;TEXT(E200,"0.00%")&amp;" ) (vol_wei_pr："&amp;TEXT(O200,"0.00%")&amp;")"</f>
        <v>11/25 open [26996] (dis： -1376，-4.85% ) (vol_wei_pr：10.82%)</v>
      </c>
    </row>
    <row r="201" spans="1:16" x14ac:dyDescent="0.25">
      <c r="A201" t="s">
        <v>209</v>
      </c>
      <c r="B201" t="s">
        <v>210</v>
      </c>
      <c r="C201" s="46">
        <v>26965.72</v>
      </c>
      <c r="D201" s="46">
        <v>-1406.25999999999</v>
      </c>
      <c r="E201" s="4">
        <v>-4.9565099087197903E-2</v>
      </c>
      <c r="F201" s="6">
        <v>6</v>
      </c>
      <c r="G201" s="10" t="s">
        <v>170</v>
      </c>
      <c r="H201" s="11">
        <v>45943</v>
      </c>
      <c r="I201" s="6" t="s">
        <v>17</v>
      </c>
      <c r="J201" s="8">
        <v>10191083804</v>
      </c>
      <c r="K201" s="8">
        <v>129546126.874143</v>
      </c>
      <c r="L201" s="4">
        <v>0.161224489795918</v>
      </c>
      <c r="M201" s="8">
        <v>1740178842.02771</v>
      </c>
      <c r="N201" s="8">
        <v>32907680.077937201</v>
      </c>
      <c r="O201" s="4">
        <v>0.12448979591836699</v>
      </c>
      <c r="P201" t="str">
        <f>TEXT(H201,"MM/DD")&amp;" "&amp;I201&amp;" ["&amp;TEXT(C201,"0")&amp;"] (dis： "&amp;TEXT(D201,"0")&amp;"，"&amp;TEXT(E201,"0.00%")&amp;" ) (vol_wei_pr："&amp;TEXT(O201,"0.00%")&amp;")"</f>
        <v>10/13 max [26966] (dis： -1406，-4.96% ) (vol_wei_pr：12.45%)</v>
      </c>
    </row>
    <row r="202" spans="1:16" x14ac:dyDescent="0.25">
      <c r="A202" t="s">
        <v>209</v>
      </c>
      <c r="B202" t="s">
        <v>210</v>
      </c>
      <c r="C202" s="46">
        <v>26923.42</v>
      </c>
      <c r="D202" s="46">
        <v>-1448.56</v>
      </c>
      <c r="E202" s="4">
        <v>-5.1056006665731499E-2</v>
      </c>
      <c r="F202" s="6">
        <v>6</v>
      </c>
      <c r="G202" s="10" t="s">
        <v>171</v>
      </c>
      <c r="H202" s="11">
        <v>45943</v>
      </c>
      <c r="I202" s="6" t="s">
        <v>20</v>
      </c>
      <c r="J202" s="8">
        <v>10191083804</v>
      </c>
      <c r="K202" s="8">
        <v>129546126.874143</v>
      </c>
      <c r="L202" s="4">
        <v>0.161224489795918</v>
      </c>
      <c r="M202" s="8">
        <v>1740178842.02771</v>
      </c>
      <c r="N202" s="8">
        <v>32907680.077937201</v>
      </c>
      <c r="O202" s="4">
        <v>0.12448979591836699</v>
      </c>
      <c r="P202" t="str">
        <f>TEXT(H202,"MM/DD")&amp;" "&amp;I202&amp;" ["&amp;TEXT(C202,"0")&amp;"] (dis： "&amp;TEXT(D202,"0")&amp;"，"&amp;TEXT(E202,"0.00%")&amp;" ) (vol_wei_pr："&amp;TEXT(O202,"0.00%")&amp;")"</f>
        <v>10/13 close [26923] (dis： -1449，-5.11% ) (vol_wei_pr：12.45%)</v>
      </c>
    </row>
    <row r="203" spans="1:16" x14ac:dyDescent="0.25">
      <c r="A203" t="s">
        <v>209</v>
      </c>
      <c r="B203" t="s">
        <v>210</v>
      </c>
      <c r="C203" s="46">
        <v>26912.17</v>
      </c>
      <c r="D203" s="46">
        <v>-1459.81</v>
      </c>
      <c r="E203" s="4">
        <v>-5.1452524638745702E-2</v>
      </c>
      <c r="F203" s="6">
        <v>6</v>
      </c>
      <c r="G203" s="10" t="s">
        <v>171</v>
      </c>
      <c r="H203" s="11">
        <v>45986</v>
      </c>
      <c r="I203" s="6" t="s">
        <v>20</v>
      </c>
      <c r="J203" s="8">
        <v>6714625759</v>
      </c>
      <c r="K203" s="8">
        <v>129546126.874143</v>
      </c>
      <c r="L203" s="4">
        <v>0.161224489795918</v>
      </c>
      <c r="M203" s="8">
        <v>3242950477.8763299</v>
      </c>
      <c r="N203" s="8">
        <v>32907680.077937201</v>
      </c>
      <c r="O203" s="4">
        <v>0.12448979591836699</v>
      </c>
      <c r="P203" t="str">
        <f>TEXT(H203,"MM/DD")&amp;" "&amp;I203&amp;" ["&amp;TEXT(C203,"0")&amp;"] (dis： "&amp;TEXT(D203,"0")&amp;"，"&amp;TEXT(E203,"0.00%")&amp;" ) (vol_wei_pr："&amp;TEXT(O203,"0.00%")&amp;")"</f>
        <v>11/25 close [26912] (dis： -1460，-5.15% ) (vol_wei_pr：12.45%)</v>
      </c>
    </row>
    <row r="204" spans="1:16" x14ac:dyDescent="0.25">
      <c r="A204" t="s">
        <v>209</v>
      </c>
      <c r="B204" t="s">
        <v>210</v>
      </c>
      <c r="C204" s="46">
        <v>26911.05</v>
      </c>
      <c r="D204" s="46">
        <v>-1460.93</v>
      </c>
      <c r="E204" s="4">
        <v>-5.1492000205836899E-2</v>
      </c>
      <c r="F204" s="6">
        <v>6</v>
      </c>
      <c r="G204" s="10" t="s">
        <v>172</v>
      </c>
      <c r="H204" s="11">
        <v>45945</v>
      </c>
      <c r="I204" s="6" t="s">
        <v>22</v>
      </c>
      <c r="J204" s="8">
        <v>8387861014</v>
      </c>
      <c r="K204" s="8">
        <v>129546126.874143</v>
      </c>
      <c r="L204" s="4">
        <v>0.161224489795918</v>
      </c>
      <c r="M204" s="8">
        <v>1535068416.2721701</v>
      </c>
      <c r="N204" s="8">
        <v>32907680.077937201</v>
      </c>
      <c r="O204" s="4">
        <v>0.12448979591836699</v>
      </c>
      <c r="P204" t="str">
        <f>TEXT(H204,"MM/DD")&amp;" "&amp;I204&amp;" ["&amp;TEXT(C204,"0")&amp;"] (dis： "&amp;TEXT(D204,"0")&amp;"，"&amp;TEXT(E204,"0.00%")&amp;" ) (vol_wei_pr："&amp;TEXT(O204,"0.00%")&amp;")"</f>
        <v>10/15 open [26911] (dis： -1461，-5.15% ) (vol_wei_pr：12.45%)</v>
      </c>
    </row>
    <row r="205" spans="1:16" x14ac:dyDescent="0.25">
      <c r="A205" t="s">
        <v>209</v>
      </c>
      <c r="B205" t="s">
        <v>210</v>
      </c>
      <c r="C205" s="46">
        <v>26902.97</v>
      </c>
      <c r="D205" s="46">
        <v>-1469.00999999999</v>
      </c>
      <c r="E205" s="4">
        <v>-5.1776788225566098E-2</v>
      </c>
      <c r="F205" s="6">
        <v>7</v>
      </c>
      <c r="G205" s="10" t="s">
        <v>379</v>
      </c>
      <c r="H205" s="11">
        <v>45980</v>
      </c>
      <c r="I205" s="6" t="s">
        <v>17</v>
      </c>
      <c r="J205" s="8">
        <v>8069342681</v>
      </c>
      <c r="K205" s="8">
        <v>154540219.11821899</v>
      </c>
      <c r="L205" s="4">
        <v>0.25102040816326499</v>
      </c>
      <c r="M205" s="8">
        <v>3392740666.9533401</v>
      </c>
      <c r="N205" s="8">
        <v>43416401.363219298</v>
      </c>
      <c r="O205" s="4">
        <v>0.20612244897959101</v>
      </c>
      <c r="P205" t="str">
        <f>TEXT(H205,"MM/DD")&amp;" "&amp;I205&amp;" ["&amp;TEXT(C205,"0")&amp;"] (dis： "&amp;TEXT(D205,"0")&amp;"，"&amp;TEXT(E205,"0.00%")&amp;" ) (vol_wei_pr："&amp;TEXT(O205,"0.00%")&amp;")"</f>
        <v>11/19 max [26903] (dis： -1469，-5.18% ) (vol_wei_pr：20.61%)</v>
      </c>
    </row>
    <row r="206" spans="1:16" x14ac:dyDescent="0.25">
      <c r="A206" t="s">
        <v>209</v>
      </c>
      <c r="B206" t="s">
        <v>210</v>
      </c>
      <c r="C206" s="46">
        <v>26883.99</v>
      </c>
      <c r="D206" s="46">
        <v>-1487.98999999999</v>
      </c>
      <c r="E206" s="4">
        <v>-5.2445758103593601E-2</v>
      </c>
      <c r="F206" s="6">
        <v>7</v>
      </c>
      <c r="G206" s="10" t="s">
        <v>380</v>
      </c>
      <c r="H206" s="11">
        <v>45938</v>
      </c>
      <c r="I206" s="6" t="s">
        <v>29</v>
      </c>
      <c r="J206" s="8">
        <v>8261189883</v>
      </c>
      <c r="K206" s="8">
        <v>154540219.11821899</v>
      </c>
      <c r="L206" s="4">
        <v>0.25102040816326499</v>
      </c>
      <c r="M206" s="8">
        <v>1316173419.96</v>
      </c>
      <c r="N206" s="8">
        <v>43416401.363219298</v>
      </c>
      <c r="O206" s="4">
        <v>0.20612244897959101</v>
      </c>
      <c r="P206" t="str">
        <f>TEXT(H206,"MM/DD")&amp;" "&amp;I206&amp;" ["&amp;TEXT(C206,"0")&amp;"] (dis： "&amp;TEXT(D206,"0")&amp;"，"&amp;TEXT(E206,"0.00%")&amp;" ) (vol_wei_pr："&amp;TEXT(O206,"0.00%")&amp;")"</f>
        <v>10/08 min [26884] (dis： -1488，-5.24% ) (vol_wei_pr：20.61%)</v>
      </c>
    </row>
    <row r="207" spans="1:16" x14ac:dyDescent="0.25">
      <c r="A207" t="s">
        <v>209</v>
      </c>
      <c r="B207" t="s">
        <v>210</v>
      </c>
      <c r="C207" s="46">
        <v>26821.97</v>
      </c>
      <c r="D207" s="46">
        <v>-1550.00999999999</v>
      </c>
      <c r="E207" s="4">
        <v>-5.4631717631268499E-2</v>
      </c>
      <c r="F207" s="6">
        <v>7</v>
      </c>
      <c r="G207" s="10" t="s">
        <v>381</v>
      </c>
      <c r="H207" s="11">
        <v>45982</v>
      </c>
      <c r="I207" s="6" t="s">
        <v>22</v>
      </c>
      <c r="J207" s="8">
        <v>8853582470</v>
      </c>
      <c r="K207" s="8">
        <v>138840855.572909</v>
      </c>
      <c r="L207" s="4">
        <v>0.20408163265306101</v>
      </c>
      <c r="M207" s="8">
        <v>3989647648.4253101</v>
      </c>
      <c r="N207" s="8">
        <v>46969531.378572904</v>
      </c>
      <c r="O207" s="4">
        <v>0.25306122448979501</v>
      </c>
      <c r="P207" t="str">
        <f>TEXT(H207,"MM/DD")&amp;" "&amp;I207&amp;" ["&amp;TEXT(C207,"0")&amp;"] (dis： "&amp;TEXT(D207,"0")&amp;"，"&amp;TEXT(E207,"0.00%")&amp;" ) (vol_wei_pr："&amp;TEXT(O207,"0.00%")&amp;")"</f>
        <v>11/21 open [26822] (dis： -1550，-5.46% ) (vol_wei_pr：25.31%)</v>
      </c>
    </row>
    <row r="208" spans="1:16" x14ac:dyDescent="0.25">
      <c r="A208" t="s">
        <v>209</v>
      </c>
      <c r="B208" t="s">
        <v>210</v>
      </c>
      <c r="C208" s="46">
        <v>26821.97</v>
      </c>
      <c r="D208" s="46">
        <v>-1550.00999999999</v>
      </c>
      <c r="E208" s="4">
        <v>-5.4631717631268499E-2</v>
      </c>
      <c r="F208" s="6">
        <v>7</v>
      </c>
      <c r="G208" s="10" t="s">
        <v>382</v>
      </c>
      <c r="H208" s="11">
        <v>45982</v>
      </c>
      <c r="I208" s="6" t="s">
        <v>17</v>
      </c>
      <c r="J208" s="8">
        <v>8853582470</v>
      </c>
      <c r="K208" s="8">
        <v>138840855.572909</v>
      </c>
      <c r="L208" s="4">
        <v>0.20408163265306101</v>
      </c>
      <c r="M208" s="8">
        <v>3989647648.4253101</v>
      </c>
      <c r="N208" s="8">
        <v>46969531.378572904</v>
      </c>
      <c r="O208" s="4">
        <v>0.25306122448979501</v>
      </c>
      <c r="P208" t="str">
        <f>TEXT(H208,"MM/DD")&amp;" "&amp;I208&amp;" ["&amp;TEXT(C208,"0")&amp;"] (dis： "&amp;TEXT(D208,"0")&amp;"，"&amp;TEXT(E208,"0.00%")&amp;" ) (vol_wei_pr："&amp;TEXT(O208,"0.00%")&amp;")"</f>
        <v>11/21 max [26822] (dis： -1550，-5.46% ) (vol_wei_pr：25.31%)</v>
      </c>
    </row>
    <row r="209" spans="1:16" x14ac:dyDescent="0.25">
      <c r="A209" t="s">
        <v>209</v>
      </c>
      <c r="B209" t="s">
        <v>210</v>
      </c>
      <c r="C209" s="46">
        <v>26793.71</v>
      </c>
      <c r="D209" s="46">
        <v>-1578.27</v>
      </c>
      <c r="E209" s="4">
        <v>-5.56277707794803E-2</v>
      </c>
      <c r="F209" s="6">
        <v>7</v>
      </c>
      <c r="G209" s="10" t="s">
        <v>383</v>
      </c>
      <c r="H209" s="11">
        <v>45986</v>
      </c>
      <c r="I209" s="6" t="s">
        <v>29</v>
      </c>
      <c r="J209" s="8">
        <v>6714625759</v>
      </c>
      <c r="K209" s="8">
        <v>138840855.572909</v>
      </c>
      <c r="L209" s="4">
        <v>0.20408163265306101</v>
      </c>
      <c r="M209" s="8">
        <v>3242950477.8763299</v>
      </c>
      <c r="N209" s="8">
        <v>46969531.378572904</v>
      </c>
      <c r="O209" s="4">
        <v>0.25306122448979501</v>
      </c>
      <c r="P209" t="str">
        <f>TEXT(H209,"MM/DD")&amp;" "&amp;I209&amp;" ["&amp;TEXT(C209,"0")&amp;"] (dis： "&amp;TEXT(D209,"0")&amp;"，"&amp;TEXT(E209,"0.00%")&amp;" ) (vol_wei_pr："&amp;TEXT(O209,"0.00%")&amp;")"</f>
        <v>11/25 min [26794] (dis： -1578，-5.56% ) (vol_wei_pr：25.31%)</v>
      </c>
    </row>
    <row r="210" spans="1:16" x14ac:dyDescent="0.25">
      <c r="A210" t="s">
        <v>209</v>
      </c>
      <c r="B210" t="s">
        <v>210</v>
      </c>
      <c r="C210" s="46">
        <v>26793.15</v>
      </c>
      <c r="D210" s="46">
        <v>-1578.8299999999899</v>
      </c>
      <c r="E210" s="4">
        <v>-5.5647508563025798E-2</v>
      </c>
      <c r="F210" s="6">
        <v>6</v>
      </c>
      <c r="G210" s="10" t="s">
        <v>384</v>
      </c>
      <c r="H210" s="11">
        <v>45944</v>
      </c>
      <c r="I210" s="6" t="s">
        <v>20</v>
      </c>
      <c r="J210" s="8">
        <v>12066540173</v>
      </c>
      <c r="K210" s="8">
        <v>118136511.707472</v>
      </c>
      <c r="L210" s="4">
        <v>0.128571428571428</v>
      </c>
      <c r="M210" s="8">
        <v>2133083095.4470401</v>
      </c>
      <c r="N210" s="8">
        <v>36969992.425483897</v>
      </c>
      <c r="O210" s="4">
        <v>0.14897959183673401</v>
      </c>
      <c r="P210" t="str">
        <f>TEXT(H210,"MM/DD")&amp;" "&amp;I210&amp;" ["&amp;TEXT(C210,"0")&amp;"] (dis： "&amp;TEXT(D210,"0")&amp;"，"&amp;TEXT(E210,"0.00%")&amp;" ) (vol_wei_pr："&amp;TEXT(O210,"0.00%")&amp;")"</f>
        <v>10/14 close [26793] (dis： -1579，-5.56% ) (vol_wei_pr：14.90%)</v>
      </c>
    </row>
    <row r="211" spans="1:16" x14ac:dyDescent="0.25">
      <c r="A211" t="s">
        <v>209</v>
      </c>
      <c r="B211" t="s">
        <v>210</v>
      </c>
      <c r="C211" s="46">
        <v>26773.15</v>
      </c>
      <c r="D211" s="46">
        <v>-1598.8299999999899</v>
      </c>
      <c r="E211" s="4">
        <v>-5.6352429403940002E-2</v>
      </c>
      <c r="F211" s="6">
        <v>6</v>
      </c>
      <c r="G211" s="10" t="s">
        <v>385</v>
      </c>
      <c r="H211" s="11">
        <v>45945</v>
      </c>
      <c r="I211" s="6" t="s">
        <v>29</v>
      </c>
      <c r="J211" s="8">
        <v>8387861014</v>
      </c>
      <c r="K211" s="8">
        <v>118136511.707472</v>
      </c>
      <c r="L211" s="4">
        <v>0.128571428571428</v>
      </c>
      <c r="M211" s="8">
        <v>1535068416.2721701</v>
      </c>
      <c r="N211" s="8">
        <v>36969992.425483897</v>
      </c>
      <c r="O211" s="4">
        <v>0.14897959183673401</v>
      </c>
      <c r="P211" t="str">
        <f>TEXT(H211,"MM/DD")&amp;" "&amp;I211&amp;" ["&amp;TEXT(C211,"0")&amp;"] (dis： "&amp;TEXT(D211,"0")&amp;"，"&amp;TEXT(E211,"0.00%")&amp;" ) (vol_wei_pr："&amp;TEXT(O211,"0.00%")&amp;")"</f>
        <v>10/15 min [26773] (dis： -1599，-5.64% ) (vol_wei_pr：14.90%)</v>
      </c>
    </row>
    <row r="212" spans="1:16" x14ac:dyDescent="0.25">
      <c r="A212" t="s">
        <v>209</v>
      </c>
      <c r="B212" t="s">
        <v>210</v>
      </c>
      <c r="C212" s="46">
        <v>26764.13</v>
      </c>
      <c r="D212" s="46">
        <v>-1607.8499999999899</v>
      </c>
      <c r="E212" s="4">
        <v>-5.6670348703192298E-2</v>
      </c>
      <c r="F212" s="6">
        <v>6</v>
      </c>
      <c r="G212" s="10" t="s">
        <v>386</v>
      </c>
      <c r="H212" s="11">
        <v>45985</v>
      </c>
      <c r="I212" s="6" t="s">
        <v>17</v>
      </c>
      <c r="J212" s="8">
        <v>9236525911</v>
      </c>
      <c r="K212" s="8">
        <v>134223127.85018799</v>
      </c>
      <c r="L212" s="4">
        <v>0.181632653061224</v>
      </c>
      <c r="M212" s="8">
        <v>4308991701.0737801</v>
      </c>
      <c r="N212" s="8">
        <v>49206451.6872513</v>
      </c>
      <c r="O212" s="4">
        <v>0.26326530612244797</v>
      </c>
      <c r="P212" t="str">
        <f>TEXT(H212,"MM/DD")&amp;" "&amp;I212&amp;" ["&amp;TEXT(C212,"0")&amp;"] (dis： "&amp;TEXT(D212,"0")&amp;"，"&amp;TEXT(E212,"0.00%")&amp;" ) (vol_wei_pr："&amp;TEXT(O212,"0.00%")&amp;")"</f>
        <v>11/24 max [26764] (dis： -1608，-5.67% ) (vol_wei_pr：26.33%)</v>
      </c>
    </row>
    <row r="213" spans="1:16" x14ac:dyDescent="0.25">
      <c r="A213" t="s">
        <v>209</v>
      </c>
      <c r="B213" t="s">
        <v>210</v>
      </c>
      <c r="C213" s="46">
        <v>26764.06</v>
      </c>
      <c r="D213" s="46">
        <v>-1607.9199999999901</v>
      </c>
      <c r="E213" s="4">
        <v>-5.6672815926135503E-2</v>
      </c>
      <c r="F213" s="6">
        <v>6</v>
      </c>
      <c r="G213" s="10" t="s">
        <v>387</v>
      </c>
      <c r="H213" s="11">
        <v>45944</v>
      </c>
      <c r="I213" s="6" t="s">
        <v>29</v>
      </c>
      <c r="J213" s="8">
        <v>12066540173</v>
      </c>
      <c r="K213" s="8">
        <v>134223127.85018799</v>
      </c>
      <c r="L213" s="4">
        <v>0.181632653061224</v>
      </c>
      <c r="M213" s="8">
        <v>2133083095.4470401</v>
      </c>
      <c r="N213" s="8">
        <v>49206451.6872513</v>
      </c>
      <c r="O213" s="4">
        <v>0.26326530612244797</v>
      </c>
      <c r="P213" t="str">
        <f>TEXT(H213,"MM/DD")&amp;" "&amp;I213&amp;" ["&amp;TEXT(C213,"0")&amp;"] (dis： "&amp;TEXT(D213,"0")&amp;"，"&amp;TEXT(E213,"0.00%")&amp;" ) (vol_wei_pr："&amp;TEXT(O213,"0.00%")&amp;")"</f>
        <v>10/14 min [26764] (dis： -1608，-5.67% ) (vol_wei_pr：26.33%)</v>
      </c>
    </row>
    <row r="214" spans="1:16" x14ac:dyDescent="0.25">
      <c r="A214" t="s">
        <v>209</v>
      </c>
      <c r="B214" t="s">
        <v>210</v>
      </c>
      <c r="C214" s="46">
        <v>26762.6</v>
      </c>
      <c r="D214" s="46">
        <v>-1609.38</v>
      </c>
      <c r="E214" s="4">
        <v>-5.6724275147522298E-2</v>
      </c>
      <c r="F214" s="6">
        <v>5</v>
      </c>
      <c r="G214" s="10" t="s">
        <v>388</v>
      </c>
      <c r="H214" s="11">
        <v>45943</v>
      </c>
      <c r="I214" s="6" t="s">
        <v>22</v>
      </c>
      <c r="J214" s="8">
        <v>10191083804</v>
      </c>
      <c r="K214" s="8">
        <v>117985016.999697</v>
      </c>
      <c r="L214" s="4">
        <v>0.122448979591836</v>
      </c>
      <c r="M214" s="8">
        <v>1740178842.02771</v>
      </c>
      <c r="N214" s="8">
        <v>46335932.113241002</v>
      </c>
      <c r="O214" s="4">
        <v>0.24489795918367299</v>
      </c>
      <c r="P214" t="str">
        <f>TEXT(H214,"MM/DD")&amp;" "&amp;I214&amp;" ["&amp;TEXT(C214,"0")&amp;"] (dis： "&amp;TEXT(D214,"0")&amp;"，"&amp;TEXT(E214,"0.00%")&amp;" ) (vol_wei_pr："&amp;TEXT(O214,"0.00%")&amp;")"</f>
        <v>10/13 open [26763] (dis： -1609，-5.67% ) (vol_wei_pr：24.49%)</v>
      </c>
    </row>
    <row r="215" spans="1:16" x14ac:dyDescent="0.25">
      <c r="A215" t="s">
        <v>209</v>
      </c>
      <c r="B215" t="s">
        <v>210</v>
      </c>
      <c r="C215" s="46">
        <v>26761.06</v>
      </c>
      <c r="D215" s="46">
        <v>-1610.9199999999901</v>
      </c>
      <c r="E215" s="4">
        <v>-5.6778554052272598E-2</v>
      </c>
      <c r="F215" s="6">
        <v>6</v>
      </c>
      <c r="G215" s="10" t="s">
        <v>389</v>
      </c>
      <c r="H215" s="11">
        <v>45933</v>
      </c>
      <c r="I215" s="6" t="s">
        <v>20</v>
      </c>
      <c r="J215" s="8">
        <v>7784825692</v>
      </c>
      <c r="K215" s="8">
        <v>140162112.096982</v>
      </c>
      <c r="L215" s="4">
        <v>0.21836734693877499</v>
      </c>
      <c r="M215" s="8">
        <v>1157221262.7477901</v>
      </c>
      <c r="N215" s="8">
        <v>49632577.023213901</v>
      </c>
      <c r="O215" s="4">
        <v>0.30408163265306098</v>
      </c>
      <c r="P215" t="str">
        <f>TEXT(H215,"MM/DD")&amp;" "&amp;I215&amp;" ["&amp;TEXT(C215,"0")&amp;"] (dis： "&amp;TEXT(D215,"0")&amp;"，"&amp;TEXT(E215,"0.00%")&amp;" ) (vol_wei_pr："&amp;TEXT(O215,"0.00%")&amp;")"</f>
        <v>10/03 close [26761] (dis： -1611，-5.68% ) (vol_wei_pr：30.41%)</v>
      </c>
    </row>
    <row r="216" spans="1:16" x14ac:dyDescent="0.25">
      <c r="A216" t="s">
        <v>209</v>
      </c>
      <c r="B216" t="s">
        <v>210</v>
      </c>
      <c r="C216" s="46">
        <v>26761.06</v>
      </c>
      <c r="D216" s="46">
        <v>-1610.9199999999901</v>
      </c>
      <c r="E216" s="4">
        <v>-5.6778554052272598E-2</v>
      </c>
      <c r="F216" s="6">
        <v>6</v>
      </c>
      <c r="G216" s="10" t="s">
        <v>390</v>
      </c>
      <c r="H216" s="11">
        <v>45933</v>
      </c>
      <c r="I216" s="6" t="s">
        <v>17</v>
      </c>
      <c r="J216" s="8">
        <v>7784825692</v>
      </c>
      <c r="K216" s="8">
        <v>140162112.096982</v>
      </c>
      <c r="L216" s="4">
        <v>0.21836734693877499</v>
      </c>
      <c r="M216" s="8">
        <v>1157221262.7477901</v>
      </c>
      <c r="N216" s="8">
        <v>49632577.023213901</v>
      </c>
      <c r="O216" s="4">
        <v>0.30408163265306098</v>
      </c>
      <c r="P216" t="str">
        <f>TEXT(H216,"MM/DD")&amp;" "&amp;I216&amp;" ["&amp;TEXT(C216,"0")&amp;"] (dis： "&amp;TEXT(D216,"0")&amp;"，"&amp;TEXT(E216,"0.00%")&amp;" ) (vol_wei_pr："&amp;TEXT(O216,"0.00%")&amp;")"</f>
        <v>10/03 max [26761] (dis： -1611，-5.68% ) (vol_wei_pr：30.41%)</v>
      </c>
    </row>
    <row r="217" spans="1:16" x14ac:dyDescent="0.25">
      <c r="A217" t="s">
        <v>209</v>
      </c>
      <c r="B217" t="s">
        <v>210</v>
      </c>
      <c r="C217" s="46">
        <v>26756.12</v>
      </c>
      <c r="D217" s="46">
        <v>-1615.86</v>
      </c>
      <c r="E217" s="4">
        <v>-5.69526694999785E-2</v>
      </c>
      <c r="F217" s="6">
        <v>6</v>
      </c>
      <c r="G217" s="10" t="s">
        <v>389</v>
      </c>
      <c r="H217" s="11">
        <v>45979</v>
      </c>
      <c r="I217" s="6" t="s">
        <v>20</v>
      </c>
      <c r="J217" s="8">
        <v>10450443082</v>
      </c>
      <c r="K217" s="8">
        <v>140162112.096982</v>
      </c>
      <c r="L217" s="4">
        <v>0.21836734693877499</v>
      </c>
      <c r="M217" s="8">
        <v>4244198718.1694698</v>
      </c>
      <c r="N217" s="8">
        <v>49632577.023213901</v>
      </c>
      <c r="O217" s="4">
        <v>0.30408163265306098</v>
      </c>
      <c r="P217" t="str">
        <f>TEXT(H217,"MM/DD")&amp;" "&amp;I217&amp;" ["&amp;TEXT(C217,"0")&amp;"] (dis： "&amp;TEXT(D217,"0")&amp;"，"&amp;TEXT(E217,"0.00%")&amp;" ) (vol_wei_pr："&amp;TEXT(O217,"0.00%")&amp;")"</f>
        <v>11/18 close [26756] (dis： -1616，-5.70% ) (vol_wei_pr：30.41%)</v>
      </c>
    </row>
    <row r="218" spans="1:16" x14ac:dyDescent="0.25">
      <c r="A218" t="s">
        <v>209</v>
      </c>
      <c r="B218" t="s">
        <v>210</v>
      </c>
      <c r="C218" s="46">
        <v>26756.12</v>
      </c>
      <c r="D218" s="46">
        <v>-1615.86</v>
      </c>
      <c r="E218" s="4">
        <v>-5.69526694999785E-2</v>
      </c>
      <c r="F218" s="6">
        <v>6</v>
      </c>
      <c r="G218" s="10" t="s">
        <v>391</v>
      </c>
      <c r="H218" s="11">
        <v>45979</v>
      </c>
      <c r="I218" s="6" t="s">
        <v>29</v>
      </c>
      <c r="J218" s="8">
        <v>10450443082</v>
      </c>
      <c r="K218" s="8">
        <v>140162112.096982</v>
      </c>
      <c r="L218" s="4">
        <v>0.21836734693877499</v>
      </c>
      <c r="M218" s="8">
        <v>4244198718.1694698</v>
      </c>
      <c r="N218" s="8">
        <v>49632577.023213901</v>
      </c>
      <c r="O218" s="4">
        <v>0.30408163265306098</v>
      </c>
      <c r="P218" t="str">
        <f>TEXT(H218,"MM/DD")&amp;" "&amp;I218&amp;" ["&amp;TEXT(C218,"0")&amp;"] (dis： "&amp;TEXT(D218,"0")&amp;"，"&amp;TEXT(E218,"0.00%")&amp;" ) (vol_wei_pr："&amp;TEXT(O218,"0.00%")&amp;")"</f>
        <v>11/18 min [26756] (dis： -1616，-5.70% ) (vol_wei_pr：30.41%)</v>
      </c>
    </row>
    <row r="219" spans="1:16" x14ac:dyDescent="0.25">
      <c r="A219" t="s">
        <v>209</v>
      </c>
      <c r="B219" t="s">
        <v>210</v>
      </c>
      <c r="C219" s="46">
        <v>26708.28</v>
      </c>
      <c r="D219" s="46">
        <v>-1663.7</v>
      </c>
      <c r="E219" s="4">
        <v>-5.8638840151445201E-2</v>
      </c>
      <c r="F219" s="6">
        <v>5</v>
      </c>
      <c r="G219" s="10" t="s">
        <v>184</v>
      </c>
      <c r="H219" s="11">
        <v>45980</v>
      </c>
      <c r="I219" s="6" t="s">
        <v>22</v>
      </c>
      <c r="J219" s="8">
        <v>8069342681</v>
      </c>
      <c r="K219" s="8">
        <v>121308025.566708</v>
      </c>
      <c r="L219" s="4">
        <v>0.14081632653061199</v>
      </c>
      <c r="M219" s="8">
        <v>3392740666.9533401</v>
      </c>
      <c r="N219" s="8">
        <v>41975438.540552698</v>
      </c>
      <c r="O219" s="4">
        <v>0.19387755102040799</v>
      </c>
      <c r="P219" t="str">
        <f>TEXT(H219,"MM/DD")&amp;" "&amp;I219&amp;" ["&amp;TEXT(C219,"0")&amp;"] (dis： "&amp;TEXT(D219,"0")&amp;"，"&amp;TEXT(E219,"0.00%")&amp;" ) (vol_wei_pr："&amp;TEXT(O219,"0.00%")&amp;")"</f>
        <v>11/19 open [26708] (dis： -1664，-5.86% ) (vol_wei_pr：19.39%)</v>
      </c>
    </row>
    <row r="220" spans="1:16" x14ac:dyDescent="0.25">
      <c r="A220" t="s">
        <v>209</v>
      </c>
      <c r="B220" t="s">
        <v>210</v>
      </c>
      <c r="C220" s="46">
        <v>26596.03</v>
      </c>
      <c r="D220" s="46">
        <v>-1775.95</v>
      </c>
      <c r="E220" s="4">
        <v>-6.2595208371076003E-2</v>
      </c>
      <c r="F220" s="6">
        <v>5</v>
      </c>
      <c r="G220" s="10" t="s">
        <v>184</v>
      </c>
      <c r="H220" s="11">
        <v>45985</v>
      </c>
      <c r="I220" s="6" t="s">
        <v>22</v>
      </c>
      <c r="J220" s="8">
        <v>9236525911</v>
      </c>
      <c r="K220" s="8">
        <v>121308025.566708</v>
      </c>
      <c r="L220" s="4">
        <v>0.14081632653061199</v>
      </c>
      <c r="M220" s="8">
        <v>4308991701.0737801</v>
      </c>
      <c r="N220" s="8">
        <v>41975438.540552698</v>
      </c>
      <c r="O220" s="4">
        <v>0.19387755102040799</v>
      </c>
      <c r="P220" t="str">
        <f>TEXT(H220,"MM/DD")&amp;" "&amp;I220&amp;" ["&amp;TEXT(C220,"0")&amp;"] (dis： "&amp;TEXT(D220,"0")&amp;"，"&amp;TEXT(E220,"0.00%")&amp;" ) (vol_wei_pr："&amp;TEXT(O220,"0.00%")&amp;")"</f>
        <v>11/24 open [26596] (dis： -1776，-6.26% ) (vol_wei_pr：19.39%)</v>
      </c>
    </row>
    <row r="221" spans="1:16" x14ac:dyDescent="0.25">
      <c r="A221" t="s">
        <v>209</v>
      </c>
      <c r="B221" t="s">
        <v>210</v>
      </c>
      <c r="C221" s="46">
        <v>26580.12</v>
      </c>
      <c r="D221" s="46">
        <v>-1791.86</v>
      </c>
      <c r="E221" s="4">
        <v>-6.31559729000232E-2</v>
      </c>
      <c r="F221" s="6">
        <v>5</v>
      </c>
      <c r="G221" s="10" t="s">
        <v>183</v>
      </c>
      <c r="H221" s="11">
        <v>45980</v>
      </c>
      <c r="I221" s="6" t="s">
        <v>20</v>
      </c>
      <c r="J221" s="8">
        <v>8069342681</v>
      </c>
      <c r="K221" s="8">
        <v>121308025.566708</v>
      </c>
      <c r="L221" s="4">
        <v>0.14081632653061199</v>
      </c>
      <c r="M221" s="8">
        <v>3392740666.9533401</v>
      </c>
      <c r="N221" s="8">
        <v>41975438.540552698</v>
      </c>
      <c r="O221" s="4">
        <v>0.19387755102040799</v>
      </c>
      <c r="P221" t="str">
        <f>TEXT(H221,"MM/DD")&amp;" "&amp;I221&amp;" ["&amp;TEXT(C221,"0")&amp;"] (dis： "&amp;TEXT(D221,"0")&amp;"，"&amp;TEXT(E221,"0.00%")&amp;" ) (vol_wei_pr："&amp;TEXT(O221,"0.00%")&amp;")"</f>
        <v>11/19 close [26580] (dis： -1792，-6.32% ) (vol_wei_pr：19.39%)</v>
      </c>
    </row>
    <row r="222" spans="1:16" x14ac:dyDescent="0.25">
      <c r="A222" t="s">
        <v>209</v>
      </c>
      <c r="B222" t="s">
        <v>210</v>
      </c>
      <c r="C222" s="46">
        <v>26580.12</v>
      </c>
      <c r="D222" s="46">
        <v>-1791.86</v>
      </c>
      <c r="E222" s="4">
        <v>-6.31559729000232E-2</v>
      </c>
      <c r="F222" s="6">
        <v>5</v>
      </c>
      <c r="G222" s="10" t="s">
        <v>185</v>
      </c>
      <c r="H222" s="11">
        <v>45980</v>
      </c>
      <c r="I222" s="6" t="s">
        <v>29</v>
      </c>
      <c r="J222" s="8">
        <v>8069342681</v>
      </c>
      <c r="K222" s="8">
        <v>121308025.566708</v>
      </c>
      <c r="L222" s="4">
        <v>0.14081632653061199</v>
      </c>
      <c r="M222" s="8">
        <v>3392740666.9533401</v>
      </c>
      <c r="N222" s="8">
        <v>41975438.540552698</v>
      </c>
      <c r="O222" s="4">
        <v>0.19387755102040799</v>
      </c>
      <c r="P222" t="str">
        <f>TEXT(H222,"MM/DD")&amp;" "&amp;I222&amp;" ["&amp;TEXT(C222,"0")&amp;"] (dis： "&amp;TEXT(D222,"0")&amp;"，"&amp;TEXT(E222,"0.00%")&amp;" ) (vol_wei_pr："&amp;TEXT(O222,"0.00%")&amp;")"</f>
        <v>11/19 min [26580] (dis： -1792，-6.32% ) (vol_wei_pr：19.39%)</v>
      </c>
    </row>
    <row r="223" spans="1:16" x14ac:dyDescent="0.25">
      <c r="A223" t="s">
        <v>209</v>
      </c>
      <c r="B223" t="s">
        <v>210</v>
      </c>
      <c r="C223" s="46">
        <v>26504.240000000002</v>
      </c>
      <c r="D223" s="46">
        <v>-1867.73999999999</v>
      </c>
      <c r="E223" s="4">
        <v>-6.5830442570451397E-2</v>
      </c>
      <c r="F223" s="6">
        <v>4</v>
      </c>
      <c r="G223" s="10" t="s">
        <v>186</v>
      </c>
      <c r="H223" s="11">
        <v>45985</v>
      </c>
      <c r="I223" s="6" t="s">
        <v>20</v>
      </c>
      <c r="J223" s="8">
        <v>9236525911</v>
      </c>
      <c r="K223" s="8">
        <v>96313933.3226327</v>
      </c>
      <c r="L223" s="4">
        <v>0.10204081632653</v>
      </c>
      <c r="M223" s="8">
        <v>4308991701.0737801</v>
      </c>
      <c r="N223" s="8">
        <v>31466717.2552706</v>
      </c>
      <c r="O223" s="4">
        <v>0.114285714285714</v>
      </c>
      <c r="P223" t="str">
        <f>TEXT(H223,"MM/DD")&amp;" "&amp;I223&amp;" ["&amp;TEXT(C223,"0")&amp;"] (dis： "&amp;TEXT(D223,"0")&amp;"，"&amp;TEXT(E223,"0.00%")&amp;" ) (vol_wei_pr："&amp;TEXT(O223,"0.00%")&amp;")"</f>
        <v>11/24 close [26504] (dis： -1868，-6.58% ) (vol_wei_pr：11.43%)</v>
      </c>
    </row>
    <row r="224" spans="1:16" x14ac:dyDescent="0.25">
      <c r="A224" t="s">
        <v>209</v>
      </c>
      <c r="B224" t="s">
        <v>210</v>
      </c>
      <c r="C224" s="46">
        <v>26489.79</v>
      </c>
      <c r="D224" s="46">
        <v>-1882.1899999999901</v>
      </c>
      <c r="E224" s="4">
        <v>-6.6339747878011904E-2</v>
      </c>
      <c r="F224" s="6">
        <v>5</v>
      </c>
      <c r="G224" s="10" t="s">
        <v>392</v>
      </c>
      <c r="H224" s="11">
        <v>45932</v>
      </c>
      <c r="I224" s="6" t="s">
        <v>17</v>
      </c>
      <c r="J224" s="8">
        <v>8085314896</v>
      </c>
      <c r="K224" s="8">
        <v>146992853.31761801</v>
      </c>
      <c r="L224" s="4">
        <v>0.238775510204081</v>
      </c>
      <c r="M224" s="8">
        <v>1160948490.0835199</v>
      </c>
      <c r="N224" s="8">
        <v>38743566.259178899</v>
      </c>
      <c r="O224" s="4">
        <v>0.157142857142857</v>
      </c>
      <c r="P224" t="str">
        <f>TEXT(H224,"MM/DD")&amp;" "&amp;I224&amp;" ["&amp;TEXT(C224,"0")&amp;"] (dis： "&amp;TEXT(D224,"0")&amp;"，"&amp;TEXT(E224,"0.00%")&amp;" ) (vol_wei_pr："&amp;TEXT(O224,"0.00%")&amp;")"</f>
        <v>10/02 max [26490] (dis： -1882，-6.63% ) (vol_wei_pr：15.71%)</v>
      </c>
    </row>
    <row r="225" spans="1:16" x14ac:dyDescent="0.25">
      <c r="A225" t="s">
        <v>209</v>
      </c>
      <c r="B225" t="s">
        <v>210</v>
      </c>
      <c r="C225" s="46">
        <v>26482.33</v>
      </c>
      <c r="D225" s="46">
        <v>-1889.6499999999901</v>
      </c>
      <c r="E225" s="4">
        <v>-6.6602683351672895E-2</v>
      </c>
      <c r="F225" s="6">
        <v>5</v>
      </c>
      <c r="G225" s="10" t="s">
        <v>393</v>
      </c>
      <c r="H225" s="11">
        <v>45985</v>
      </c>
      <c r="I225" s="6" t="s">
        <v>29</v>
      </c>
      <c r="J225" s="8">
        <v>9236525911</v>
      </c>
      <c r="K225" s="8">
        <v>146992853.31761801</v>
      </c>
      <c r="L225" s="4">
        <v>0.238775510204081</v>
      </c>
      <c r="M225" s="8">
        <v>4308991701.0737801</v>
      </c>
      <c r="N225" s="8">
        <v>38743566.259178899</v>
      </c>
      <c r="O225" s="4">
        <v>0.157142857142857</v>
      </c>
      <c r="P225" t="str">
        <f>TEXT(H225,"MM/DD")&amp;" "&amp;I225&amp;" ["&amp;TEXT(C225,"0")&amp;"] (dis： "&amp;TEXT(D225,"0")&amp;"，"&amp;TEXT(E225,"0.00%")&amp;" ) (vol_wei_pr："&amp;TEXT(O225,"0.00%")&amp;")"</f>
        <v>11/24 min [26482] (dis： -1890，-6.66% ) (vol_wei_pr：15.71%)</v>
      </c>
    </row>
    <row r="226" spans="1:16" x14ac:dyDescent="0.25">
      <c r="A226" t="s">
        <v>209</v>
      </c>
      <c r="B226" t="s">
        <v>210</v>
      </c>
      <c r="C226" s="46">
        <v>26470.44</v>
      </c>
      <c r="D226" s="46">
        <v>-1901.54</v>
      </c>
      <c r="E226" s="4">
        <v>-6.7021758791596497E-2</v>
      </c>
      <c r="F226" s="6">
        <v>4</v>
      </c>
      <c r="G226" s="10" t="s">
        <v>394</v>
      </c>
      <c r="H226" s="11">
        <v>45943</v>
      </c>
      <c r="I226" s="6" t="s">
        <v>29</v>
      </c>
      <c r="J226" s="8">
        <v>10191083804</v>
      </c>
      <c r="K226" s="8">
        <v>114215969.31832699</v>
      </c>
      <c r="L226" s="4">
        <v>0.118367346938775</v>
      </c>
      <c r="M226" s="8">
        <v>1740178842.02771</v>
      </c>
      <c r="N226" s="8">
        <v>23452609.1936225</v>
      </c>
      <c r="O226" s="4">
        <v>9.7959183673469299E-2</v>
      </c>
      <c r="P226" t="str">
        <f>TEXT(H226,"MM/DD")&amp;" "&amp;I226&amp;" ["&amp;TEXT(C226,"0")&amp;"] (dis： "&amp;TEXT(D226,"0")&amp;"，"&amp;TEXT(E226,"0.00%")&amp;" ) (vol_wei_pr："&amp;TEXT(O226,"0.00%")&amp;")"</f>
        <v>10/13 min [26470] (dis： -1902，-6.70% ) (vol_wei_pr：9.80%)</v>
      </c>
    </row>
    <row r="227" spans="1:16" x14ac:dyDescent="0.25">
      <c r="A227" t="s">
        <v>209</v>
      </c>
      <c r="B227" t="s">
        <v>210</v>
      </c>
      <c r="C227" s="46">
        <v>26435.1</v>
      </c>
      <c r="D227" s="46">
        <v>-1936.88</v>
      </c>
      <c r="E227" s="4">
        <v>-6.8267353917491794E-2</v>
      </c>
      <c r="F227" s="6">
        <v>3</v>
      </c>
      <c r="G227" s="10" t="s">
        <v>395</v>
      </c>
      <c r="H227" s="11">
        <v>45933</v>
      </c>
      <c r="I227" s="6" t="s">
        <v>22</v>
      </c>
      <c r="J227" s="8">
        <v>7784825692</v>
      </c>
      <c r="K227" s="8">
        <v>93639560.410235405</v>
      </c>
      <c r="L227" s="4">
        <v>9.3877551020408095E-2</v>
      </c>
      <c r="M227" s="8">
        <v>1157221262.7477901</v>
      </c>
      <c r="N227" s="8">
        <v>19939083.830135699</v>
      </c>
      <c r="O227" s="4">
        <v>8.5714285714285701E-2</v>
      </c>
      <c r="P227" t="str">
        <f>TEXT(H227,"MM/DD")&amp;" "&amp;I227&amp;" ["&amp;TEXT(C227,"0")&amp;"] (dis： "&amp;TEXT(D227,"0")&amp;"，"&amp;TEXT(E227,"0.00%")&amp;" ) (vol_wei_pr："&amp;TEXT(O227,"0.00%")&amp;")"</f>
        <v>10/03 open [26435] (dis： -1937，-6.83% ) (vol_wei_pr：8.57%)</v>
      </c>
    </row>
    <row r="228" spans="1:16" x14ac:dyDescent="0.25">
      <c r="A228" t="s">
        <v>209</v>
      </c>
      <c r="B228" t="s">
        <v>210</v>
      </c>
      <c r="C228" s="46">
        <v>26434.94</v>
      </c>
      <c r="D228" s="46">
        <v>-1937.04</v>
      </c>
      <c r="E228" s="4">
        <v>-6.8272993284219097E-2</v>
      </c>
      <c r="F228" s="6">
        <v>3</v>
      </c>
      <c r="G228" s="10" t="s">
        <v>396</v>
      </c>
      <c r="H228" s="11">
        <v>45982</v>
      </c>
      <c r="I228" s="6" t="s">
        <v>20</v>
      </c>
      <c r="J228" s="8">
        <v>8853582470</v>
      </c>
      <c r="K228" s="8">
        <v>93639560.410235405</v>
      </c>
      <c r="L228" s="4">
        <v>9.3877551020408095E-2</v>
      </c>
      <c r="M228" s="8">
        <v>3989647648.4253101</v>
      </c>
      <c r="N228" s="8">
        <v>19939083.830135699</v>
      </c>
      <c r="O228" s="4">
        <v>8.5714285714285701E-2</v>
      </c>
      <c r="P228" t="str">
        <f>TEXT(H228,"MM/DD")&amp;" "&amp;I228&amp;" ["&amp;TEXT(C228,"0")&amp;"] (dis： "&amp;TEXT(D228,"0")&amp;"，"&amp;TEXT(E228,"0.00%")&amp;" ) (vol_wei_pr："&amp;TEXT(O228,"0.00%")&amp;")"</f>
        <v>11/21 close [26435] (dis： -1937，-6.83% ) (vol_wei_pr：8.57%)</v>
      </c>
    </row>
    <row r="229" spans="1:16" x14ac:dyDescent="0.25">
      <c r="A229" t="s">
        <v>209</v>
      </c>
      <c r="B229" t="s">
        <v>210</v>
      </c>
      <c r="C229" s="46">
        <v>26410.03</v>
      </c>
      <c r="D229" s="46">
        <v>-1961.95</v>
      </c>
      <c r="E229" s="4">
        <v>-6.9150972191577703E-2</v>
      </c>
      <c r="F229" s="6">
        <v>3</v>
      </c>
      <c r="G229" s="10" t="s">
        <v>397</v>
      </c>
      <c r="H229" s="11">
        <v>45933</v>
      </c>
      <c r="I229" s="6" t="s">
        <v>29</v>
      </c>
      <c r="J229" s="8">
        <v>7784825692</v>
      </c>
      <c r="K229" s="8">
        <v>93639560.410235405</v>
      </c>
      <c r="L229" s="4">
        <v>9.3877551020408095E-2</v>
      </c>
      <c r="M229" s="8">
        <v>1157221262.7477901</v>
      </c>
      <c r="N229" s="8">
        <v>19939083.830135699</v>
      </c>
      <c r="O229" s="4">
        <v>8.5714285714285701E-2</v>
      </c>
      <c r="P229" t="str">
        <f>TEXT(H229,"MM/DD")&amp;" "&amp;I229&amp;" ["&amp;TEXT(C229,"0")&amp;"] (dis： "&amp;TEXT(D229,"0")&amp;"，"&amp;TEXT(E229,"0.00%")&amp;" ) (vol_wei_pr："&amp;TEXT(O229,"0.00%")&amp;")"</f>
        <v>10/03 min [26410] (dis： -1962，-6.92% ) (vol_wei_pr：8.57%)</v>
      </c>
    </row>
    <row r="230" spans="1:16" x14ac:dyDescent="0.25">
      <c r="A230" t="s">
        <v>209</v>
      </c>
      <c r="B230" t="s">
        <v>210</v>
      </c>
      <c r="C230" s="46">
        <v>26395.98</v>
      </c>
      <c r="D230" s="46">
        <v>-1976</v>
      </c>
      <c r="E230" s="4">
        <v>-6.9646179082319903E-2</v>
      </c>
      <c r="F230" s="6">
        <v>2</v>
      </c>
      <c r="G230" s="10" t="s">
        <v>398</v>
      </c>
      <c r="H230" s="11">
        <v>45982</v>
      </c>
      <c r="I230" s="6" t="s">
        <v>29</v>
      </c>
      <c r="J230" s="8">
        <v>8853582470</v>
      </c>
      <c r="K230" s="8">
        <v>71462465.312950402</v>
      </c>
      <c r="L230" s="4">
        <v>8.16326530612244E-2</v>
      </c>
      <c r="M230" s="8">
        <v>3989647648.4253101</v>
      </c>
      <c r="N230" s="8">
        <v>16642438.920162801</v>
      </c>
      <c r="O230" s="4">
        <v>7.7551020408163196E-2</v>
      </c>
      <c r="P230" t="str">
        <f>TEXT(H230,"MM/DD")&amp;" "&amp;I230&amp;" ["&amp;TEXT(C230,"0")&amp;"] (dis： "&amp;TEXT(D230,"0")&amp;"，"&amp;TEXT(E230,"0.00%")&amp;" ) (vol_wei_pr："&amp;TEXT(O230,"0.00%")&amp;")"</f>
        <v>11/21 min [26396] (dis： -1976，-6.96% ) (vol_wei_pr：7.76%)</v>
      </c>
    </row>
    <row r="231" spans="1:16" x14ac:dyDescent="0.25">
      <c r="A231" t="s">
        <v>209</v>
      </c>
      <c r="B231" t="s">
        <v>210</v>
      </c>
      <c r="C231" s="46">
        <v>26392.31</v>
      </c>
      <c r="D231" s="46">
        <v>-1979.6699999999901</v>
      </c>
      <c r="E231" s="4">
        <v>-6.9775532056627607E-2</v>
      </c>
      <c r="F231" s="6">
        <v>1</v>
      </c>
      <c r="G231" s="10" t="s">
        <v>195</v>
      </c>
      <c r="H231" s="11">
        <v>45932</v>
      </c>
      <c r="I231" s="6" t="s">
        <v>22</v>
      </c>
      <c r="J231" s="8">
        <v>8085314896</v>
      </c>
      <c r="K231" s="8">
        <v>50678919.994985297</v>
      </c>
      <c r="L231" s="4">
        <v>6.9387755102040802E-2</v>
      </c>
      <c r="M231" s="8">
        <v>1160948490.0835199</v>
      </c>
      <c r="N231" s="8">
        <v>7276849.0039082402</v>
      </c>
      <c r="O231" s="4">
        <v>6.1224489795918297E-2</v>
      </c>
      <c r="P231" t="str">
        <f>TEXT(H231,"MM/DD")&amp;" "&amp;I231&amp;" ["&amp;TEXT(C231,"0")&amp;"] (dis： "&amp;TEXT(D231,"0")&amp;"，"&amp;TEXT(E231,"0.00%")&amp;" ) (vol_wei_pr："&amp;TEXT(O231,"0.00%")&amp;")"</f>
        <v>10/02 open [26392] (dis： -1980，-6.98% ) (vol_wei_pr：6.12%)</v>
      </c>
    </row>
    <row r="232" spans="1:16" x14ac:dyDescent="0.25">
      <c r="A232" t="s">
        <v>209</v>
      </c>
      <c r="B232" t="s">
        <v>210</v>
      </c>
      <c r="C232" s="46">
        <v>26378.39</v>
      </c>
      <c r="D232" s="46">
        <v>-1993.59</v>
      </c>
      <c r="E232" s="4">
        <v>-7.02661569619039E-2</v>
      </c>
      <c r="F232" s="6">
        <v>1</v>
      </c>
      <c r="G232" s="10" t="s">
        <v>399</v>
      </c>
      <c r="H232" s="11">
        <v>45932</v>
      </c>
      <c r="I232" s="6" t="s">
        <v>20</v>
      </c>
      <c r="J232" s="8">
        <v>8085314896</v>
      </c>
      <c r="K232" s="8">
        <v>50678919.994985297</v>
      </c>
      <c r="L232" s="4">
        <v>6.9387755102040802E-2</v>
      </c>
      <c r="M232" s="8">
        <v>1160948490.0835199</v>
      </c>
      <c r="N232" s="8">
        <v>7276849.0039082402</v>
      </c>
      <c r="O232" s="4">
        <v>6.1224489795918297E-2</v>
      </c>
      <c r="P232" t="str">
        <f>TEXT(H232,"MM/DD")&amp;" "&amp;I232&amp;" ["&amp;TEXT(C232,"0")&amp;"] (dis： "&amp;TEXT(D232,"0")&amp;"，"&amp;TEXT(E232,"0.00%")&amp;" ) (vol_wei_pr："&amp;TEXT(O232,"0.00%")&amp;")"</f>
        <v>10/02 close [26378] (dis： -1994，-7.03% ) (vol_wei_pr：6.12%)</v>
      </c>
    </row>
    <row r="233" spans="1:16" x14ac:dyDescent="0.25">
      <c r="A233" t="s">
        <v>209</v>
      </c>
      <c r="B233" t="s">
        <v>210</v>
      </c>
      <c r="C233" s="46">
        <v>26330.25</v>
      </c>
      <c r="D233" s="46">
        <v>-2041.72999999999</v>
      </c>
      <c r="E233" s="4">
        <v>-7.1962901425984299E-2</v>
      </c>
      <c r="F233" s="6">
        <v>1</v>
      </c>
      <c r="G233" s="10" t="s">
        <v>196</v>
      </c>
      <c r="H233" s="11">
        <v>45932</v>
      </c>
      <c r="I233" s="6" t="s">
        <v>29</v>
      </c>
      <c r="J233" s="8">
        <v>8085314896</v>
      </c>
      <c r="K233" s="8">
        <v>50678919.994985297</v>
      </c>
      <c r="L233" s="4">
        <v>6.9387755102040802E-2</v>
      </c>
      <c r="M233" s="8">
        <v>1160948490.0835199</v>
      </c>
      <c r="N233" s="8">
        <v>7276849.0039082402</v>
      </c>
      <c r="O233" s="4">
        <v>6.1224489795918297E-2</v>
      </c>
      <c r="P233" t="str">
        <f>TEXT(H233,"MM/DD")&amp;" "&amp;I233&amp;" ["&amp;TEXT(C233,"0")&amp;"] (dis： "&amp;TEXT(D233,"0")&amp;"，"&amp;TEXT(E233,"0.00%")&amp;" ) (vol_wei_pr："&amp;TEXT(O233,"0.00%")&amp;")"</f>
        <v>10/02 min [26330] (dis： -2042，-7.20% ) (vol_wei_pr：6.12%)</v>
      </c>
    </row>
    <row r="234" spans="1:16" x14ac:dyDescent="0.25">
      <c r="A234" t="s">
        <v>209</v>
      </c>
      <c r="B234" t="s">
        <v>210</v>
      </c>
      <c r="C234" s="46">
        <v>26325.79</v>
      </c>
      <c r="D234" s="46">
        <v>-2046.1899999999901</v>
      </c>
      <c r="E234" s="4">
        <v>-7.2120098773508098E-2</v>
      </c>
      <c r="F234" s="6">
        <v>1</v>
      </c>
      <c r="G234" s="10" t="s">
        <v>197</v>
      </c>
      <c r="H234" s="11">
        <v>45931</v>
      </c>
      <c r="I234" s="6" t="s">
        <v>17</v>
      </c>
      <c r="J234" s="8">
        <v>7679791251</v>
      </c>
      <c r="K234" s="8">
        <v>22397897.955552898</v>
      </c>
      <c r="L234" s="4">
        <v>1.8367346938775501E-2</v>
      </c>
      <c r="M234" s="8">
        <v>1065157740.49541</v>
      </c>
      <c r="N234" s="8">
        <v>3106502.9762465302</v>
      </c>
      <c r="O234" s="4">
        <v>1.42857142857142E-2</v>
      </c>
      <c r="P234" t="str">
        <f>TEXT(H234,"MM/DD")&amp;" "&amp;I234&amp;" ["&amp;TEXT(C234,"0")&amp;"] (dis： "&amp;TEXT(D234,"0")&amp;"，"&amp;TEXT(E234,"0.00%")&amp;" ) (vol_wei_pr："&amp;TEXT(O234,"0.00%")&amp;")"</f>
        <v>10/01 max [26326] (dis： -2046，-7.21% ) (vol_wei_pr：1.43%)</v>
      </c>
    </row>
    <row r="235" spans="1:16" x14ac:dyDescent="0.25">
      <c r="A235" t="s">
        <v>209</v>
      </c>
      <c r="B235" t="s">
        <v>210</v>
      </c>
      <c r="C235" s="46">
        <v>26078.29</v>
      </c>
      <c r="D235" s="46">
        <v>-2293.6899999999901</v>
      </c>
      <c r="E235" s="4">
        <v>-8.0843494179820993E-2</v>
      </c>
      <c r="F235" s="6">
        <v>1</v>
      </c>
      <c r="G235" s="10" t="s">
        <v>400</v>
      </c>
      <c r="H235" s="11">
        <v>45931</v>
      </c>
      <c r="I235" s="6" t="s">
        <v>22</v>
      </c>
      <c r="J235" s="8">
        <v>7679791251</v>
      </c>
      <c r="K235" s="8">
        <v>22397897.955552898</v>
      </c>
      <c r="L235" s="4">
        <v>1.8367346938775501E-2</v>
      </c>
      <c r="M235" s="8">
        <v>1065157740.49541</v>
      </c>
      <c r="N235" s="8">
        <v>3106502.9762465302</v>
      </c>
      <c r="O235" s="4">
        <v>1.42857142857142E-2</v>
      </c>
      <c r="P235" t="str">
        <f>TEXT(H235,"MM/DD")&amp;" "&amp;I235&amp;" ["&amp;TEXT(C235,"0")&amp;"] (dis： "&amp;TEXT(D235,"0")&amp;"，"&amp;TEXT(E235,"0.00%")&amp;" ) (vol_wei_pr："&amp;TEXT(O235,"0.00%")&amp;")"</f>
        <v>10/01 open [26078] (dis： -2294，-8.08% ) (vol_wei_pr：1.43%)</v>
      </c>
    </row>
    <row r="236" spans="1:16" x14ac:dyDescent="0.25">
      <c r="A236" t="s">
        <v>209</v>
      </c>
      <c r="B236" t="s">
        <v>210</v>
      </c>
      <c r="C236" s="46">
        <v>25998.28</v>
      </c>
      <c r="D236" s="46">
        <v>-2373.6999999999998</v>
      </c>
      <c r="E236" s="4">
        <v>-8.3663530003898201E-2</v>
      </c>
      <c r="F236" s="6">
        <v>2</v>
      </c>
      <c r="G236" s="10" t="s">
        <v>401</v>
      </c>
      <c r="H236" s="11">
        <v>45926</v>
      </c>
      <c r="I236" s="6" t="s">
        <v>22</v>
      </c>
      <c r="J236" s="8">
        <v>8334201118</v>
      </c>
      <c r="K236" s="8">
        <v>38145387.030452803</v>
      </c>
      <c r="L236" s="4">
        <v>3.4693877551020401E-2</v>
      </c>
      <c r="M236" s="8">
        <v>1078513260.71312</v>
      </c>
      <c r="N236" s="8">
        <v>5144355.86097393</v>
      </c>
      <c r="O236" s="4">
        <v>2.6530612244897899E-2</v>
      </c>
      <c r="P236" t="str">
        <f>TEXT(H236,"MM/DD")&amp;" "&amp;I236&amp;" ["&amp;TEXT(C236,"0")&amp;"] (dis： "&amp;TEXT(D236,"0")&amp;"，"&amp;TEXT(E236,"0.00%")&amp;" ) (vol_wei_pr："&amp;TEXT(O236,"0.00%")&amp;")"</f>
        <v>09/26 open [25998] (dis： -2374，-8.37% ) (vol_wei_pr：2.65%)</v>
      </c>
    </row>
    <row r="237" spans="1:16" x14ac:dyDescent="0.25">
      <c r="A237" t="s">
        <v>209</v>
      </c>
      <c r="B237" t="s">
        <v>210</v>
      </c>
      <c r="C237" s="46">
        <v>25998.28</v>
      </c>
      <c r="D237" s="46">
        <v>-2373.6999999999998</v>
      </c>
      <c r="E237" s="4">
        <v>-8.3663530003898201E-2</v>
      </c>
      <c r="F237" s="6">
        <v>2</v>
      </c>
      <c r="G237" s="10" t="s">
        <v>402</v>
      </c>
      <c r="H237" s="11">
        <v>45926</v>
      </c>
      <c r="I237" s="6" t="s">
        <v>17</v>
      </c>
      <c r="J237" s="8">
        <v>8334201118</v>
      </c>
      <c r="K237" s="8">
        <v>38145387.030452803</v>
      </c>
      <c r="L237" s="4">
        <v>3.4693877551020401E-2</v>
      </c>
      <c r="M237" s="8">
        <v>1078513260.71312</v>
      </c>
      <c r="N237" s="8">
        <v>5144355.86097393</v>
      </c>
      <c r="O237" s="4">
        <v>2.6530612244897899E-2</v>
      </c>
      <c r="P237" t="str">
        <f>TEXT(H237,"MM/DD")&amp;" "&amp;I237&amp;" ["&amp;TEXT(C237,"0")&amp;"] (dis： "&amp;TEXT(D237,"0")&amp;"，"&amp;TEXT(E237,"0.00%")&amp;" ) (vol_wei_pr："&amp;TEXT(O237,"0.00%")&amp;")"</f>
        <v>09/26 max [25998] (dis： -2374，-8.37% ) (vol_wei_pr：2.65%)</v>
      </c>
    </row>
    <row r="238" spans="1:16" x14ac:dyDescent="0.25">
      <c r="A238" t="s">
        <v>209</v>
      </c>
      <c r="B238" t="s">
        <v>210</v>
      </c>
      <c r="C238" s="46">
        <v>25982.91</v>
      </c>
      <c r="D238" s="46">
        <v>-2389.0699999999902</v>
      </c>
      <c r="E238" s="4">
        <v>-8.4205261670140696E-2</v>
      </c>
      <c r="F238" s="6">
        <v>2</v>
      </c>
      <c r="G238" s="10" t="s">
        <v>403</v>
      </c>
      <c r="H238" s="11">
        <v>45931</v>
      </c>
      <c r="I238" s="6" t="s">
        <v>20</v>
      </c>
      <c r="J238" s="8">
        <v>7679791251</v>
      </c>
      <c r="K238" s="8">
        <v>38145387.030452803</v>
      </c>
      <c r="L238" s="4">
        <v>3.4693877551020401E-2</v>
      </c>
      <c r="M238" s="8">
        <v>1065157740.49541</v>
      </c>
      <c r="N238" s="8">
        <v>5144355.86097393</v>
      </c>
      <c r="O238" s="4">
        <v>2.6530612244897899E-2</v>
      </c>
      <c r="P238" t="str">
        <f>TEXT(H238,"MM/DD")&amp;" "&amp;I238&amp;" ["&amp;TEXT(C238,"0")&amp;"] (dis： "&amp;TEXT(D238,"0")&amp;"，"&amp;TEXT(E238,"0.00%")&amp;" ) (vol_wei_pr："&amp;TEXT(O238,"0.00%")&amp;")"</f>
        <v>10/01 close [25983] (dis： -2389，-8.42% ) (vol_wei_pr：2.65%)</v>
      </c>
    </row>
    <row r="239" spans="1:16" x14ac:dyDescent="0.25">
      <c r="A239" t="s">
        <v>209</v>
      </c>
      <c r="B239" t="s">
        <v>210</v>
      </c>
      <c r="C239" s="46">
        <v>25982.91</v>
      </c>
      <c r="D239" s="46">
        <v>-2389.0699999999902</v>
      </c>
      <c r="E239" s="4">
        <v>-8.4205261670140696E-2</v>
      </c>
      <c r="F239" s="6">
        <v>2</v>
      </c>
      <c r="G239" s="10" t="s">
        <v>404</v>
      </c>
      <c r="H239" s="11">
        <v>45931</v>
      </c>
      <c r="I239" s="6" t="s">
        <v>29</v>
      </c>
      <c r="J239" s="8">
        <v>7679791251</v>
      </c>
      <c r="K239" s="8">
        <v>38145387.030452803</v>
      </c>
      <c r="L239" s="4">
        <v>3.4693877551020401E-2</v>
      </c>
      <c r="M239" s="8">
        <v>1065157740.49541</v>
      </c>
      <c r="N239" s="8">
        <v>5144355.86097393</v>
      </c>
      <c r="O239" s="4">
        <v>2.6530612244897899E-2</v>
      </c>
      <c r="P239" t="str">
        <f>TEXT(H239,"MM/DD")&amp;" "&amp;I239&amp;" ["&amp;TEXT(C239,"0")&amp;"] (dis： "&amp;TEXT(D239,"0")&amp;"，"&amp;TEXT(E239,"0.00%")&amp;" ) (vol_wei_pr："&amp;TEXT(O239,"0.00%")&amp;")"</f>
        <v>10/01 min [25983] (dis： -2389，-8.42% ) (vol_wei_pr：2.65%)</v>
      </c>
    </row>
    <row r="240" spans="1:16" x14ac:dyDescent="0.25">
      <c r="A240" t="s">
        <v>209</v>
      </c>
      <c r="B240" t="s">
        <v>210</v>
      </c>
      <c r="C240" s="46">
        <v>25975.84</v>
      </c>
      <c r="D240" s="46">
        <v>-2396.1399999999899</v>
      </c>
      <c r="E240" s="4">
        <v>-8.4454451187403898E-2</v>
      </c>
      <c r="F240" s="6">
        <v>2</v>
      </c>
      <c r="G240" s="10" t="s">
        <v>405</v>
      </c>
      <c r="H240" s="11">
        <v>45930</v>
      </c>
      <c r="I240" s="6" t="s">
        <v>17</v>
      </c>
      <c r="J240" s="8">
        <v>6699602406</v>
      </c>
      <c r="K240" s="8">
        <v>43952778.537283704</v>
      </c>
      <c r="L240" s="4">
        <v>5.3061224489795902E-2</v>
      </c>
      <c r="M240" s="8">
        <v>897557008.53688705</v>
      </c>
      <c r="N240" s="8">
        <v>5816562.9783445904</v>
      </c>
      <c r="O240" s="4">
        <v>4.4897959183673397E-2</v>
      </c>
      <c r="P240" t="str">
        <f>TEXT(H240,"MM/DD")&amp;" "&amp;I240&amp;" ["&amp;TEXT(C240,"0")&amp;"] (dis： "&amp;TEXT(D240,"0")&amp;"，"&amp;TEXT(E240,"0.00%")&amp;" ) (vol_wei_pr："&amp;TEXT(O240,"0.00%")&amp;")"</f>
        <v>09/30 max [25976] (dis： -2396，-8.45% ) (vol_wei_pr：4.49%)</v>
      </c>
    </row>
    <row r="241" spans="1:16" x14ac:dyDescent="0.25">
      <c r="A241" t="s">
        <v>209</v>
      </c>
      <c r="B241" t="s">
        <v>210</v>
      </c>
      <c r="C241" s="46">
        <v>25820.54</v>
      </c>
      <c r="D241" s="46">
        <v>-2551.4399999999901</v>
      </c>
      <c r="E241" s="4">
        <v>-8.9928161517102395E-2</v>
      </c>
      <c r="F241" s="6">
        <v>2</v>
      </c>
      <c r="G241" s="10" t="s">
        <v>202</v>
      </c>
      <c r="H241" s="11">
        <v>45930</v>
      </c>
      <c r="I241" s="6" t="s">
        <v>20</v>
      </c>
      <c r="J241" s="8">
        <v>6699602406</v>
      </c>
      <c r="K241" s="8">
        <v>43952778.537283704</v>
      </c>
      <c r="L241" s="4">
        <v>5.3061224489795902E-2</v>
      </c>
      <c r="M241" s="8">
        <v>897557008.53688705</v>
      </c>
      <c r="N241" s="8">
        <v>5816562.9783445904</v>
      </c>
      <c r="O241" s="4">
        <v>4.4897959183673397E-2</v>
      </c>
      <c r="P241" t="str">
        <f>TEXT(H241,"MM/DD")&amp;" "&amp;I241&amp;" ["&amp;TEXT(C241,"0")&amp;"] (dis： "&amp;TEXT(D241,"0")&amp;"，"&amp;TEXT(E241,"0.00%")&amp;" ) (vol_wei_pr："&amp;TEXT(O241,"0.00%")&amp;")"</f>
        <v>09/30 close [25821] (dis： -2551，-8.99% ) (vol_wei_pr：4.49%)</v>
      </c>
    </row>
    <row r="242" spans="1:16" x14ac:dyDescent="0.25">
      <c r="A242" t="s">
        <v>209</v>
      </c>
      <c r="B242" t="s">
        <v>210</v>
      </c>
      <c r="C242" s="55">
        <v>25789.385249999999</v>
      </c>
      <c r="D242" s="55">
        <v>-2582.5947500000002</v>
      </c>
      <c r="E242" s="4">
        <v>-9.1026243145525904E-2</v>
      </c>
      <c r="F242" s="6">
        <v>2</v>
      </c>
      <c r="G242" s="10" t="s">
        <v>406</v>
      </c>
      <c r="H242" s="11">
        <v>46015</v>
      </c>
      <c r="I242" s="5" t="s">
        <v>206</v>
      </c>
      <c r="J242" s="8">
        <v>7899870510</v>
      </c>
      <c r="K242" s="8">
        <v>43952778.537283704</v>
      </c>
      <c r="L242" s="4">
        <v>5.3061224489795902E-2</v>
      </c>
      <c r="M242" s="8">
        <v>7899870510</v>
      </c>
      <c r="N242" s="8">
        <v>5816562.9783445904</v>
      </c>
      <c r="O242" s="4">
        <v>4.4897959183673397E-2</v>
      </c>
      <c r="P242" t="str">
        <f>TEXT(H242,"MM/DD")&amp;" "&amp;I242&amp;" ["&amp;TEXT(C242,"0")&amp;"] (dis： "&amp;TEXT(D242,"0")&amp;"，"&amp;TEXT(E242,"0.00%")&amp;" ) (vol_wei_pr："&amp;TEXT(O242,"0.00%")&amp;")"</f>
        <v>12/24 120MA [25789] (dis： -2583，-9.10% ) (vol_wei_pr：4.49%)</v>
      </c>
    </row>
    <row r="243" spans="1:16" x14ac:dyDescent="0.25">
      <c r="A243" t="s">
        <v>209</v>
      </c>
      <c r="B243" t="s">
        <v>210</v>
      </c>
      <c r="C243" s="46">
        <v>25738.31</v>
      </c>
      <c r="D243" s="46">
        <v>-2633.6699999999901</v>
      </c>
      <c r="E243" s="4">
        <v>-9.2826443554520896E-2</v>
      </c>
      <c r="F243" s="6">
        <v>2</v>
      </c>
      <c r="G243" s="10" t="s">
        <v>203</v>
      </c>
      <c r="H243" s="11">
        <v>45930</v>
      </c>
      <c r="I243" s="6" t="s">
        <v>22</v>
      </c>
      <c r="J243" s="8">
        <v>6699602406</v>
      </c>
      <c r="K243" s="8">
        <v>43952778.537283704</v>
      </c>
      <c r="L243" s="4">
        <v>5.3061224489795902E-2</v>
      </c>
      <c r="M243" s="8">
        <v>897557008.53688705</v>
      </c>
      <c r="N243" s="8">
        <v>5816562.9783445904</v>
      </c>
      <c r="O243" s="4">
        <v>4.4897959183673397E-2</v>
      </c>
      <c r="P243" t="str">
        <f>TEXT(H243,"MM/DD")&amp;" "&amp;I243&amp;" ["&amp;TEXT(C243,"0")&amp;"] (dis： "&amp;TEXT(D243,"0")&amp;"，"&amp;TEXT(E243,"0.00%")&amp;" ) (vol_wei_pr："&amp;TEXT(O243,"0.00%")&amp;")"</f>
        <v>09/30 open [25738] (dis： -2634，-9.28% ) (vol_wei_pr：4.49%)</v>
      </c>
    </row>
    <row r="244" spans="1:16" x14ac:dyDescent="0.25">
      <c r="A244" t="s">
        <v>209</v>
      </c>
      <c r="B244" t="s">
        <v>210</v>
      </c>
      <c r="C244" s="46">
        <v>25738.31</v>
      </c>
      <c r="D244" s="46">
        <v>-2633.6699999999901</v>
      </c>
      <c r="E244" s="4">
        <v>-9.2826443554520896E-2</v>
      </c>
      <c r="F244" s="6">
        <v>2</v>
      </c>
      <c r="G244" s="10" t="s">
        <v>204</v>
      </c>
      <c r="H244" s="11">
        <v>45930</v>
      </c>
      <c r="I244" s="6" t="s">
        <v>29</v>
      </c>
      <c r="J244" s="8">
        <v>6699602406</v>
      </c>
      <c r="K244" s="8">
        <v>43952778.537283704</v>
      </c>
      <c r="L244" s="4">
        <v>5.3061224489795902E-2</v>
      </c>
      <c r="M244" s="8">
        <v>897557008.53688705</v>
      </c>
      <c r="N244" s="8">
        <v>5816562.9783445904</v>
      </c>
      <c r="O244" s="4">
        <v>4.4897959183673397E-2</v>
      </c>
      <c r="P244" t="str">
        <f>TEXT(H244,"MM/DD")&amp;" "&amp;I244&amp;" ["&amp;TEXT(C244,"0")&amp;"] (dis： "&amp;TEXT(D244,"0")&amp;"，"&amp;TEXT(E244,"0.00%")&amp;" ) (vol_wei_pr："&amp;TEXT(O244,"0.00%")&amp;")"</f>
        <v>09/30 min [25738] (dis： -2634，-9.28% ) (vol_wei_pr：4.49%)</v>
      </c>
    </row>
    <row r="245" spans="1:16" x14ac:dyDescent="0.25">
      <c r="A245" t="s">
        <v>209</v>
      </c>
      <c r="B245" t="s">
        <v>210</v>
      </c>
      <c r="C245" s="46">
        <v>25580.32</v>
      </c>
      <c r="D245" s="46">
        <v>-2791.66</v>
      </c>
      <c r="E245" s="4">
        <v>-9.8394965737322496E-2</v>
      </c>
      <c r="F245" s="6">
        <v>1</v>
      </c>
      <c r="G245" s="10" t="s">
        <v>207</v>
      </c>
      <c r="H245" s="11">
        <v>45926</v>
      </c>
      <c r="I245" s="6" t="s">
        <v>20</v>
      </c>
      <c r="J245" s="8">
        <v>8334201118</v>
      </c>
      <c r="K245" s="8">
        <v>15747489.074899901</v>
      </c>
      <c r="L245" s="4">
        <v>1.0204081632653E-2</v>
      </c>
      <c r="M245" s="8">
        <v>1078513260.71312</v>
      </c>
      <c r="N245" s="8">
        <v>2037852.88472739</v>
      </c>
      <c r="O245" s="4">
        <v>6.1224489795918303E-3</v>
      </c>
      <c r="P245" t="str">
        <f>TEXT(H245,"MM/DD")&amp;" "&amp;I245&amp;" ["&amp;TEXT(C245,"0")&amp;"] (dis： "&amp;TEXT(D245,"0")&amp;"，"&amp;TEXT(E245,"0.00%")&amp;" ) (vol_wei_pr："&amp;TEXT(O245,"0.00%")&amp;")"</f>
        <v>09/26 close [25580] (dis： -2792，-9.84% ) (vol_wei_pr：0.61%)</v>
      </c>
    </row>
    <row r="246" spans="1:16" x14ac:dyDescent="0.25">
      <c r="A246" t="s">
        <v>209</v>
      </c>
      <c r="B246" t="s">
        <v>210</v>
      </c>
      <c r="C246" s="46">
        <v>25469.040000000001</v>
      </c>
      <c r="D246" s="46">
        <v>-2902.9399999999901</v>
      </c>
      <c r="E246" s="4">
        <v>-0.10231714529616801</v>
      </c>
      <c r="F246" s="6">
        <v>1</v>
      </c>
      <c r="G246" s="10" t="s">
        <v>208</v>
      </c>
      <c r="H246" s="11">
        <v>45926</v>
      </c>
      <c r="I246" s="6" t="s">
        <v>29</v>
      </c>
      <c r="J246" s="8">
        <v>8334201118</v>
      </c>
      <c r="K246" s="8">
        <v>15747489.074899901</v>
      </c>
      <c r="L246" s="4">
        <v>1.0204081632653E-2</v>
      </c>
      <c r="M246" s="8">
        <v>1078513260.71312</v>
      </c>
      <c r="N246" s="8">
        <v>2037852.88472739</v>
      </c>
      <c r="O246" s="4">
        <v>6.1224489795918303E-3</v>
      </c>
      <c r="P246" t="str">
        <f>TEXT(H246,"MM/DD")&amp;" "&amp;I246&amp;" ["&amp;TEXT(C246,"0")&amp;"] (dis： "&amp;TEXT(D246,"0")&amp;"，"&amp;TEXT(E246,"0.00%")&amp;" ) (vol_wei_pr："&amp;TEXT(O246,"0.00%")&amp;")"</f>
        <v>09/26 min [25469] (dis： -2903，-10.23% ) (vol_wei_pr：0.61%)</v>
      </c>
    </row>
  </sheetData>
  <autoFilter ref="A1:P246" xr:uid="{5E730F29-C717-4A6C-AC47-A4BFF9814AA1}">
    <sortState xmlns:xlrd2="http://schemas.microsoft.com/office/spreadsheetml/2017/richdata2" ref="A2:P246">
      <sortCondition descending="1" ref="C1:C246"/>
    </sortState>
  </autoFilter>
  <phoneticPr fontId="18" type="noConversion"/>
  <conditionalFormatting sqref="D1:D104857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{B8F957F8-9C0F-463C-B9A9-16C5409073C6}</x14:id>
        </ext>
      </extLst>
    </cfRule>
  </conditionalFormatting>
  <conditionalFormatting sqref="J1:J1048576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{95DB59A3-0AB9-4D0D-9BC5-59FA6197C621}</x14:id>
        </ext>
      </extLst>
    </cfRule>
  </conditionalFormatting>
  <conditionalFormatting sqref="M1:M104857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{67E5956A-A8EA-425D-9E6B-9D6913D4C91F}</x14:id>
        </ext>
      </extLst>
    </cfRule>
  </conditionalFormatting>
  <conditionalFormatting sqref="K1:K1048576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{59D3E1A7-0B9B-40E2-BEFE-F4BF6DECAB59}</x14:id>
        </ext>
      </extLst>
    </cfRule>
  </conditionalFormatting>
  <conditionalFormatting sqref="L1:L1048576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{A1DA523C-7394-4D7E-A4E3-931596FA7AB0}</x14:id>
        </ext>
      </extLst>
    </cfRule>
  </conditionalFormatting>
  <conditionalFormatting sqref="N1:N1048576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{6F335B48-A21E-4E10-B9BC-78C211ACB5A3}</x14:id>
        </ext>
      </extLst>
    </cfRule>
  </conditionalFormatting>
  <conditionalFormatting sqref="O1:O104857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{97F8ED3B-519A-4908-BF67-5382249CF916}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F957F8-9C0F-463C-B9A9-16C5409073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95DB59A3-0AB9-4D0D-9BC5-59FA6197C6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67E5956A-A8EA-425D-9E6B-9D6913D4C9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M1:M1048576</xm:sqref>
        </x14:conditionalFormatting>
        <x14:conditionalFormatting xmlns:xm="http://schemas.microsoft.com/office/excel/2006/main">
          <x14:cfRule type="dataBar" id="{59D3E1A7-0B9B-40E2-BEFE-F4BF6DECAB5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A1DA523C-7394-4D7E-A4E3-931596FA7AB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  <x14:conditionalFormatting xmlns:xm="http://schemas.microsoft.com/office/excel/2006/main">
          <x14:cfRule type="dataBar" id="{6F335B48-A21E-4E10-B9BC-78C211ACB5A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N1:N1048576</xm:sqref>
        </x14:conditionalFormatting>
        <x14:conditionalFormatting xmlns:xm="http://schemas.microsoft.com/office/excel/2006/main">
          <x14:cfRule type="dataBar" id="{97F8ED3B-519A-4908-BF67-5382249CF916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O1:O1048576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C189-BDE8-4576-84FC-2288664464DE}">
  <dimension ref="A1:O246"/>
  <sheetViews>
    <sheetView workbookViewId="0">
      <selection activeCell="H23" sqref="H23"/>
    </sheetView>
  </sheetViews>
  <sheetFormatPr defaultRowHeight="16.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50</v>
      </c>
      <c r="C2">
        <v>64.849999999999994</v>
      </c>
      <c r="D2">
        <v>0.99999999999999201</v>
      </c>
      <c r="E2">
        <v>1.5661707126076601E-2</v>
      </c>
      <c r="F2">
        <v>1</v>
      </c>
      <c r="G2" t="s">
        <v>16</v>
      </c>
      <c r="H2" s="1">
        <v>45965</v>
      </c>
      <c r="I2" t="s">
        <v>17</v>
      </c>
      <c r="J2">
        <v>88131032</v>
      </c>
      <c r="K2">
        <v>88131032.000000596</v>
      </c>
      <c r="L2">
        <v>4.0816326530612197E-3</v>
      </c>
      <c r="M2">
        <v>25308992.870647699</v>
      </c>
      <c r="N2">
        <v>25308992.8706479</v>
      </c>
      <c r="O2">
        <v>2.4489795918367301E-2</v>
      </c>
    </row>
    <row r="3" spans="1:15" x14ac:dyDescent="0.25">
      <c r="A3" t="s">
        <v>15</v>
      </c>
      <c r="B3">
        <v>50</v>
      </c>
      <c r="C3">
        <v>64.8</v>
      </c>
      <c r="D3">
        <v>0.94999999999999496</v>
      </c>
      <c r="E3">
        <v>1.4878621769772799E-2</v>
      </c>
      <c r="F3">
        <v>4</v>
      </c>
      <c r="G3" t="s">
        <v>18</v>
      </c>
      <c r="H3" s="1">
        <v>45960</v>
      </c>
      <c r="I3" t="s">
        <v>17</v>
      </c>
      <c r="J3">
        <v>95106510</v>
      </c>
      <c r="K3">
        <v>502635935.05555898</v>
      </c>
      <c r="L3">
        <v>0.1</v>
      </c>
      <c r="M3">
        <v>24615108.4579923</v>
      </c>
      <c r="N3">
        <v>136759266.70641401</v>
      </c>
      <c r="O3">
        <v>0.1</v>
      </c>
    </row>
    <row r="4" spans="1:15" x14ac:dyDescent="0.25">
      <c r="A4" t="s">
        <v>15</v>
      </c>
      <c r="B4">
        <v>50</v>
      </c>
      <c r="C4">
        <v>64.8</v>
      </c>
      <c r="D4">
        <v>0.94999999999999496</v>
      </c>
      <c r="E4">
        <v>1.4878621769772799E-2</v>
      </c>
      <c r="F4">
        <v>4</v>
      </c>
      <c r="G4" t="s">
        <v>18</v>
      </c>
      <c r="H4" s="1">
        <v>45961</v>
      </c>
      <c r="I4" t="s">
        <v>17</v>
      </c>
      <c r="J4">
        <v>55956524</v>
      </c>
      <c r="K4">
        <v>502635935.05555898</v>
      </c>
      <c r="L4">
        <v>0.1</v>
      </c>
      <c r="M4">
        <v>14993179.369743699</v>
      </c>
      <c r="N4">
        <v>136759266.70641401</v>
      </c>
      <c r="O4">
        <v>0.1</v>
      </c>
    </row>
    <row r="5" spans="1:15" x14ac:dyDescent="0.25">
      <c r="A5" t="s">
        <v>15</v>
      </c>
      <c r="B5">
        <v>50</v>
      </c>
      <c r="C5">
        <v>64.8</v>
      </c>
      <c r="D5">
        <v>0.94999999999999496</v>
      </c>
      <c r="E5">
        <v>1.4878621769772799E-2</v>
      </c>
      <c r="F5">
        <v>4</v>
      </c>
      <c r="G5" t="s">
        <v>18</v>
      </c>
      <c r="H5" s="1">
        <v>45964</v>
      </c>
      <c r="I5" t="s">
        <v>17</v>
      </c>
      <c r="J5">
        <v>140157410</v>
      </c>
      <c r="K5">
        <v>502635935.05555898</v>
      </c>
      <c r="L5">
        <v>0.1</v>
      </c>
      <c r="M5">
        <v>38878595.855024099</v>
      </c>
      <c r="N5">
        <v>136759266.70641401</v>
      </c>
      <c r="O5">
        <v>0.1</v>
      </c>
    </row>
    <row r="6" spans="1:15" x14ac:dyDescent="0.25">
      <c r="A6" t="s">
        <v>15</v>
      </c>
      <c r="B6">
        <v>50</v>
      </c>
      <c r="C6">
        <v>64.75</v>
      </c>
      <c r="D6">
        <v>0.89999999999999802</v>
      </c>
      <c r="E6">
        <v>1.4095536413468999E-2</v>
      </c>
      <c r="F6">
        <v>4</v>
      </c>
      <c r="G6" t="s">
        <v>19</v>
      </c>
      <c r="H6" s="1">
        <v>45961</v>
      </c>
      <c r="I6" t="s">
        <v>20</v>
      </c>
      <c r="J6">
        <v>55956524</v>
      </c>
      <c r="K6">
        <v>502635935.05555898</v>
      </c>
      <c r="L6">
        <v>0.1</v>
      </c>
      <c r="M6">
        <v>14993179.369743699</v>
      </c>
      <c r="N6">
        <v>136759266.70641401</v>
      </c>
      <c r="O6">
        <v>0.1</v>
      </c>
    </row>
    <row r="7" spans="1:15" x14ac:dyDescent="0.25">
      <c r="A7" t="s">
        <v>15</v>
      </c>
      <c r="B7">
        <v>50</v>
      </c>
      <c r="C7">
        <v>64.599999999999994</v>
      </c>
      <c r="D7">
        <v>0.74999999999999201</v>
      </c>
      <c r="E7">
        <v>1.17462803445574E-2</v>
      </c>
      <c r="F7">
        <v>4</v>
      </c>
      <c r="G7" t="s">
        <v>21</v>
      </c>
      <c r="H7" s="1">
        <v>45960</v>
      </c>
      <c r="I7" t="s">
        <v>22</v>
      </c>
      <c r="J7">
        <v>95106510</v>
      </c>
      <c r="K7">
        <v>502635935.05555898</v>
      </c>
      <c r="L7">
        <v>0.1</v>
      </c>
      <c r="M7">
        <v>24615108.4579923</v>
      </c>
      <c r="N7">
        <v>136759266.70641401</v>
      </c>
      <c r="O7">
        <v>0.1</v>
      </c>
    </row>
    <row r="8" spans="1:15" x14ac:dyDescent="0.25">
      <c r="A8" t="s">
        <v>15</v>
      </c>
      <c r="B8">
        <v>50</v>
      </c>
      <c r="C8">
        <v>64.599999999999994</v>
      </c>
      <c r="D8">
        <v>0.74999999999999201</v>
      </c>
      <c r="E8">
        <v>1.17462803445574E-2</v>
      </c>
      <c r="F8">
        <v>4</v>
      </c>
      <c r="G8" t="s">
        <v>21</v>
      </c>
      <c r="H8" s="1">
        <v>45961</v>
      </c>
      <c r="I8" t="s">
        <v>22</v>
      </c>
      <c r="J8">
        <v>55956524</v>
      </c>
      <c r="K8">
        <v>502635935.05555898</v>
      </c>
      <c r="L8">
        <v>0.1</v>
      </c>
      <c r="M8">
        <v>14993179.369743699</v>
      </c>
      <c r="N8">
        <v>136759266.70641401</v>
      </c>
      <c r="O8">
        <v>0.1</v>
      </c>
    </row>
    <row r="9" spans="1:15" x14ac:dyDescent="0.25">
      <c r="A9" t="s">
        <v>15</v>
      </c>
      <c r="B9">
        <v>50</v>
      </c>
      <c r="C9">
        <v>64.5</v>
      </c>
      <c r="D9">
        <v>0.64999999999999802</v>
      </c>
      <c r="E9">
        <v>1.0180109631949799E-2</v>
      </c>
      <c r="F9">
        <v>5</v>
      </c>
      <c r="G9" t="s">
        <v>23</v>
      </c>
      <c r="H9" s="1">
        <v>45965</v>
      </c>
      <c r="I9" t="s">
        <v>22</v>
      </c>
      <c r="J9">
        <v>88131032</v>
      </c>
      <c r="K9">
        <v>580480219.67094398</v>
      </c>
      <c r="L9">
        <v>0.120408163265306</v>
      </c>
      <c r="M9">
        <v>25308992.870647699</v>
      </c>
      <c r="N9">
        <v>193744618.51466599</v>
      </c>
      <c r="O9">
        <v>0.120408163265306</v>
      </c>
    </row>
    <row r="10" spans="1:15" x14ac:dyDescent="0.25">
      <c r="A10" t="s">
        <v>15</v>
      </c>
      <c r="B10">
        <v>50</v>
      </c>
      <c r="C10">
        <v>64.5</v>
      </c>
      <c r="D10">
        <v>0.64999999999999802</v>
      </c>
      <c r="E10">
        <v>1.0180109631949799E-2</v>
      </c>
      <c r="F10">
        <v>5</v>
      </c>
      <c r="G10" t="s">
        <v>24</v>
      </c>
      <c r="H10" s="1">
        <v>46002</v>
      </c>
      <c r="I10" t="s">
        <v>17</v>
      </c>
      <c r="J10">
        <v>101197570</v>
      </c>
      <c r="K10">
        <v>580480219.67094398</v>
      </c>
      <c r="L10">
        <v>0.120408163265306</v>
      </c>
      <c r="M10">
        <v>74080957.350728005</v>
      </c>
      <c r="N10">
        <v>193744618.51466599</v>
      </c>
      <c r="O10">
        <v>0.120408163265306</v>
      </c>
    </row>
    <row r="11" spans="1:15" x14ac:dyDescent="0.25">
      <c r="A11" t="s">
        <v>15</v>
      </c>
      <c r="B11">
        <v>50</v>
      </c>
      <c r="C11">
        <v>64.45</v>
      </c>
      <c r="D11">
        <v>0.60000000000000098</v>
      </c>
      <c r="E11">
        <v>9.3970242756460601E-3</v>
      </c>
      <c r="F11">
        <v>6</v>
      </c>
      <c r="G11" t="s">
        <v>25</v>
      </c>
      <c r="H11" s="1">
        <v>45959</v>
      </c>
      <c r="I11" t="s">
        <v>17</v>
      </c>
      <c r="J11">
        <v>67414369</v>
      </c>
      <c r="K11">
        <v>670366045.00427794</v>
      </c>
      <c r="L11">
        <v>0.15102040816326501</v>
      </c>
      <c r="M11">
        <v>16853592.25</v>
      </c>
      <c r="N11">
        <v>216216074.84799999</v>
      </c>
      <c r="O11">
        <v>0.14285714285714199</v>
      </c>
    </row>
    <row r="12" spans="1:15" x14ac:dyDescent="0.25">
      <c r="A12" t="s">
        <v>15</v>
      </c>
      <c r="B12">
        <v>50</v>
      </c>
      <c r="C12">
        <v>64.45</v>
      </c>
      <c r="D12">
        <v>0.60000000000000098</v>
      </c>
      <c r="E12">
        <v>9.3970242756460601E-3</v>
      </c>
      <c r="F12">
        <v>6</v>
      </c>
      <c r="G12" t="s">
        <v>26</v>
      </c>
      <c r="H12" s="1">
        <v>45964</v>
      </c>
      <c r="I12" t="s">
        <v>22</v>
      </c>
      <c r="J12">
        <v>140157410</v>
      </c>
      <c r="K12">
        <v>670366045.00427794</v>
      </c>
      <c r="L12">
        <v>0.15102040816326501</v>
      </c>
      <c r="M12">
        <v>38878595.855024099</v>
      </c>
      <c r="N12">
        <v>216216074.84799999</v>
      </c>
      <c r="O12">
        <v>0.14285714285714199</v>
      </c>
    </row>
    <row r="13" spans="1:15" x14ac:dyDescent="0.25">
      <c r="A13" t="s">
        <v>15</v>
      </c>
      <c r="B13">
        <v>50</v>
      </c>
      <c r="C13">
        <v>64.400000000000006</v>
      </c>
      <c r="D13">
        <v>0.55000000000000404</v>
      </c>
      <c r="E13">
        <v>8.6139389193422705E-3</v>
      </c>
      <c r="F13">
        <v>6</v>
      </c>
      <c r="G13" t="s">
        <v>27</v>
      </c>
      <c r="H13" s="1">
        <v>45959</v>
      </c>
      <c r="I13" t="s">
        <v>20</v>
      </c>
      <c r="J13">
        <v>67414369</v>
      </c>
      <c r="K13">
        <v>670366045.00427794</v>
      </c>
      <c r="L13">
        <v>0.15102040816326501</v>
      </c>
      <c r="M13">
        <v>16853592.25</v>
      </c>
      <c r="N13">
        <v>216216074.84799999</v>
      </c>
      <c r="O13">
        <v>0.14285714285714199</v>
      </c>
    </row>
    <row r="14" spans="1:15" x14ac:dyDescent="0.25">
      <c r="A14" t="s">
        <v>15</v>
      </c>
      <c r="B14">
        <v>50</v>
      </c>
      <c r="C14">
        <v>64.400000000000006</v>
      </c>
      <c r="D14">
        <v>0.55000000000000404</v>
      </c>
      <c r="E14">
        <v>8.6139389193422705E-3</v>
      </c>
      <c r="F14">
        <v>6</v>
      </c>
      <c r="G14" t="s">
        <v>27</v>
      </c>
      <c r="H14" s="1">
        <v>45960</v>
      </c>
      <c r="I14" t="s">
        <v>20</v>
      </c>
      <c r="J14">
        <v>95106510</v>
      </c>
      <c r="K14">
        <v>670366045.00427794</v>
      </c>
      <c r="L14">
        <v>0.15102040816326501</v>
      </c>
      <c r="M14">
        <v>24615108.4579923</v>
      </c>
      <c r="N14">
        <v>216216074.84799999</v>
      </c>
      <c r="O14">
        <v>0.14285714285714199</v>
      </c>
    </row>
    <row r="15" spans="1:15" x14ac:dyDescent="0.25">
      <c r="A15" t="s">
        <v>15</v>
      </c>
      <c r="B15">
        <v>50</v>
      </c>
      <c r="C15">
        <v>64.400000000000006</v>
      </c>
      <c r="D15">
        <v>0.55000000000000404</v>
      </c>
      <c r="E15">
        <v>8.6139389193422705E-3</v>
      </c>
      <c r="F15">
        <v>6</v>
      </c>
      <c r="G15" t="s">
        <v>28</v>
      </c>
      <c r="H15" s="1">
        <v>45961</v>
      </c>
      <c r="I15" t="s">
        <v>29</v>
      </c>
      <c r="J15">
        <v>55956524</v>
      </c>
      <c r="K15">
        <v>670366045.00427794</v>
      </c>
      <c r="L15">
        <v>0.15102040816326501</v>
      </c>
      <c r="M15">
        <v>14993179.369743699</v>
      </c>
      <c r="N15">
        <v>216216074.84799999</v>
      </c>
      <c r="O15">
        <v>0.14285714285714199</v>
      </c>
    </row>
    <row r="16" spans="1:15" x14ac:dyDescent="0.25">
      <c r="A16" t="s">
        <v>15</v>
      </c>
      <c r="B16">
        <v>50</v>
      </c>
      <c r="C16">
        <v>64.3</v>
      </c>
      <c r="D16">
        <v>0.44999999999999502</v>
      </c>
      <c r="E16">
        <v>7.0477682067344597E-3</v>
      </c>
      <c r="F16">
        <v>5</v>
      </c>
      <c r="G16" t="s">
        <v>30</v>
      </c>
      <c r="H16" s="1">
        <v>46002</v>
      </c>
      <c r="I16" t="s">
        <v>22</v>
      </c>
      <c r="J16">
        <v>101197570</v>
      </c>
      <c r="K16">
        <v>530474735.00427401</v>
      </c>
      <c r="L16">
        <v>0.114285714285714</v>
      </c>
      <c r="M16">
        <v>74080957.350728005</v>
      </c>
      <c r="N16">
        <v>178733126.42364001</v>
      </c>
      <c r="O16">
        <v>0.114285714285714</v>
      </c>
    </row>
    <row r="17" spans="1:15" x14ac:dyDescent="0.25">
      <c r="A17" t="s">
        <v>15</v>
      </c>
      <c r="B17">
        <v>50</v>
      </c>
      <c r="C17">
        <v>64.2</v>
      </c>
      <c r="D17">
        <v>0.35000000000000098</v>
      </c>
      <c r="E17">
        <v>5.4815974941268804E-3</v>
      </c>
      <c r="F17">
        <v>6</v>
      </c>
      <c r="G17" t="s">
        <v>31</v>
      </c>
      <c r="H17" s="1">
        <v>46001</v>
      </c>
      <c r="I17" t="s">
        <v>17</v>
      </c>
      <c r="J17">
        <v>66717948</v>
      </c>
      <c r="K17">
        <v>651780095.00427401</v>
      </c>
      <c r="L17">
        <v>0.128571428571428</v>
      </c>
      <c r="M17">
        <v>47176713.457651399</v>
      </c>
      <c r="N17">
        <v>264508969.07391399</v>
      </c>
      <c r="O17">
        <v>0.19387755102040799</v>
      </c>
    </row>
    <row r="18" spans="1:15" x14ac:dyDescent="0.25">
      <c r="A18" t="s">
        <v>15</v>
      </c>
      <c r="B18">
        <v>50</v>
      </c>
      <c r="C18">
        <v>64.150000000000006</v>
      </c>
      <c r="D18">
        <v>0.30000000000000399</v>
      </c>
      <c r="E18">
        <v>4.6985121378230804E-3</v>
      </c>
      <c r="F18">
        <v>6</v>
      </c>
      <c r="G18" t="s">
        <v>32</v>
      </c>
      <c r="H18" s="1">
        <v>45964</v>
      </c>
      <c r="I18" t="s">
        <v>20</v>
      </c>
      <c r="J18">
        <v>140157410</v>
      </c>
      <c r="K18">
        <v>651780095.00427401</v>
      </c>
      <c r="L18">
        <v>0.128571428571428</v>
      </c>
      <c r="M18">
        <v>38878595.855024099</v>
      </c>
      <c r="N18">
        <v>264508969.07391399</v>
      </c>
      <c r="O18">
        <v>0.19387755102040799</v>
      </c>
    </row>
    <row r="19" spans="1:15" x14ac:dyDescent="0.25">
      <c r="A19" t="s">
        <v>15</v>
      </c>
      <c r="B19">
        <v>50</v>
      </c>
      <c r="C19">
        <v>64.05</v>
      </c>
      <c r="D19">
        <v>0.19999999999999499</v>
      </c>
      <c r="E19">
        <v>3.1323414252152799E-3</v>
      </c>
      <c r="F19">
        <v>7</v>
      </c>
      <c r="G19" t="s">
        <v>33</v>
      </c>
      <c r="H19" s="1">
        <v>46001</v>
      </c>
      <c r="I19" t="s">
        <v>20</v>
      </c>
      <c r="J19">
        <v>66717948</v>
      </c>
      <c r="K19">
        <v>865468161.67094195</v>
      </c>
      <c r="L19">
        <v>0.21632653061224399</v>
      </c>
      <c r="M19">
        <v>47176713.457651399</v>
      </c>
      <c r="N19">
        <v>478197035.740583</v>
      </c>
      <c r="O19">
        <v>0.33877551020408098</v>
      </c>
    </row>
    <row r="20" spans="1:15" x14ac:dyDescent="0.25">
      <c r="A20" t="s">
        <v>15</v>
      </c>
      <c r="B20">
        <v>50</v>
      </c>
      <c r="C20">
        <v>64.05</v>
      </c>
      <c r="D20">
        <v>0.19999999999999499</v>
      </c>
      <c r="E20">
        <v>3.1323414252152799E-3</v>
      </c>
      <c r="F20">
        <v>7</v>
      </c>
      <c r="G20" t="s">
        <v>34</v>
      </c>
      <c r="H20" s="1">
        <v>46015</v>
      </c>
      <c r="I20" t="s">
        <v>17</v>
      </c>
      <c r="J20">
        <v>64106420</v>
      </c>
      <c r="K20">
        <v>865468161.67094195</v>
      </c>
      <c r="L20">
        <v>0.21632653061224399</v>
      </c>
      <c r="M20">
        <v>64106420</v>
      </c>
      <c r="N20">
        <v>478197035.740583</v>
      </c>
      <c r="O20">
        <v>0.33877551020408098</v>
      </c>
    </row>
    <row r="21" spans="1:15" x14ac:dyDescent="0.25">
      <c r="A21" t="s">
        <v>15</v>
      </c>
      <c r="B21">
        <v>50</v>
      </c>
      <c r="C21">
        <v>64</v>
      </c>
      <c r="D21">
        <v>0.149999999999998</v>
      </c>
      <c r="E21">
        <v>2.3492560689114799E-3</v>
      </c>
      <c r="F21">
        <v>7</v>
      </c>
      <c r="G21" t="s">
        <v>35</v>
      </c>
      <c r="H21" s="1">
        <v>45960</v>
      </c>
      <c r="I21" t="s">
        <v>29</v>
      </c>
      <c r="J21">
        <v>95106510</v>
      </c>
      <c r="K21">
        <v>865468161.67094195</v>
      </c>
      <c r="L21">
        <v>0.21632653061224399</v>
      </c>
      <c r="M21">
        <v>24615108.4579923</v>
      </c>
      <c r="N21">
        <v>478197035.740583</v>
      </c>
      <c r="O21">
        <v>0.33877551020408098</v>
      </c>
    </row>
    <row r="22" spans="1:15" x14ac:dyDescent="0.25">
      <c r="A22" t="s">
        <v>15</v>
      </c>
      <c r="B22">
        <v>50</v>
      </c>
      <c r="C22">
        <v>63.95</v>
      </c>
      <c r="D22">
        <v>0.100000000000001</v>
      </c>
      <c r="E22">
        <v>1.5661707126076901E-3</v>
      </c>
      <c r="F22">
        <v>6</v>
      </c>
      <c r="G22" t="s">
        <v>36</v>
      </c>
      <c r="H22" s="1">
        <v>45965</v>
      </c>
      <c r="I22" t="s">
        <v>20</v>
      </c>
      <c r="J22">
        <v>88131032</v>
      </c>
      <c r="K22">
        <v>746585024.17094195</v>
      </c>
      <c r="L22">
        <v>0.16530612244897899</v>
      </c>
      <c r="M22">
        <v>25308992.870647699</v>
      </c>
      <c r="N22">
        <v>447428150.16809201</v>
      </c>
      <c r="O22">
        <v>0.32040816326530602</v>
      </c>
    </row>
    <row r="23" spans="1:15" x14ac:dyDescent="0.25">
      <c r="A23" t="s">
        <v>15</v>
      </c>
      <c r="B23">
        <v>50</v>
      </c>
      <c r="C23">
        <v>63.95</v>
      </c>
      <c r="D23">
        <v>0.100000000000001</v>
      </c>
      <c r="E23">
        <v>1.5661707126076901E-3</v>
      </c>
      <c r="F23">
        <v>6</v>
      </c>
      <c r="G23" t="s">
        <v>37</v>
      </c>
      <c r="H23" s="1">
        <v>46015</v>
      </c>
      <c r="I23" t="s">
        <v>22</v>
      </c>
      <c r="J23">
        <v>64106420</v>
      </c>
      <c r="K23">
        <v>746585024.17094195</v>
      </c>
      <c r="L23">
        <v>0.16530612244897899</v>
      </c>
      <c r="M23">
        <v>64106420</v>
      </c>
      <c r="N23">
        <v>447428150.16809201</v>
      </c>
      <c r="O23">
        <v>0.32040816326530602</v>
      </c>
    </row>
    <row r="24" spans="1:15" x14ac:dyDescent="0.25">
      <c r="A24" t="s">
        <v>15</v>
      </c>
      <c r="B24">
        <v>50</v>
      </c>
      <c r="C24">
        <v>63.9</v>
      </c>
      <c r="D24">
        <v>4.9999999999997102E-2</v>
      </c>
      <c r="E24">
        <v>7.8308535630379201E-4</v>
      </c>
      <c r="F24">
        <v>7</v>
      </c>
      <c r="G24" t="s">
        <v>38</v>
      </c>
      <c r="H24" s="1">
        <v>45957</v>
      </c>
      <c r="I24" t="s">
        <v>17</v>
      </c>
      <c r="J24">
        <v>104776108</v>
      </c>
      <c r="K24">
        <v>979420819.72650003</v>
      </c>
      <c r="L24">
        <v>0.25510204081632598</v>
      </c>
      <c r="M24">
        <v>24439891.372205898</v>
      </c>
      <c r="N24">
        <v>501739019.88410598</v>
      </c>
      <c r="O24">
        <v>0.37755102040816302</v>
      </c>
    </row>
    <row r="25" spans="1:15" x14ac:dyDescent="0.25">
      <c r="A25" t="s">
        <v>15</v>
      </c>
      <c r="B25">
        <v>50</v>
      </c>
      <c r="C25">
        <v>63.9</v>
      </c>
      <c r="D25">
        <v>4.9999999999997102E-2</v>
      </c>
      <c r="E25">
        <v>7.8308535630379201E-4</v>
      </c>
      <c r="F25">
        <v>7</v>
      </c>
      <c r="G25" t="s">
        <v>39</v>
      </c>
      <c r="H25" s="1">
        <v>45964</v>
      </c>
      <c r="I25" t="s">
        <v>29</v>
      </c>
      <c r="J25">
        <v>140157410</v>
      </c>
      <c r="K25">
        <v>979420819.72650003</v>
      </c>
      <c r="L25">
        <v>0.25510204081632598</v>
      </c>
      <c r="M25">
        <v>38878595.855024099</v>
      </c>
      <c r="N25">
        <v>501739019.88410598</v>
      </c>
      <c r="O25">
        <v>0.37755102040816302</v>
      </c>
    </row>
    <row r="26" spans="1:15" x14ac:dyDescent="0.25">
      <c r="A26" t="s">
        <v>15</v>
      </c>
      <c r="B26">
        <v>50</v>
      </c>
      <c r="C26">
        <v>63.85</v>
      </c>
      <c r="D26">
        <v>0</v>
      </c>
      <c r="E26">
        <v>0</v>
      </c>
      <c r="F26">
        <v>7</v>
      </c>
      <c r="G26" t="s">
        <v>40</v>
      </c>
      <c r="H26" s="1">
        <v>45965</v>
      </c>
      <c r="I26" t="s">
        <v>29</v>
      </c>
      <c r="J26">
        <v>88131032</v>
      </c>
      <c r="K26">
        <v>992594190.83760798</v>
      </c>
      <c r="L26">
        <v>0.265306122448979</v>
      </c>
      <c r="M26">
        <v>25308992.870647699</v>
      </c>
      <c r="N26">
        <v>573905293.418455</v>
      </c>
      <c r="O26">
        <v>0.45306122448979502</v>
      </c>
    </row>
    <row r="27" spans="1:15" x14ac:dyDescent="0.25">
      <c r="A27" t="s">
        <v>15</v>
      </c>
      <c r="B27">
        <v>50</v>
      </c>
      <c r="C27">
        <v>63.85</v>
      </c>
      <c r="D27">
        <v>0</v>
      </c>
      <c r="E27">
        <v>0</v>
      </c>
      <c r="F27">
        <v>7</v>
      </c>
      <c r="G27" t="s">
        <v>41</v>
      </c>
      <c r="H27" s="1">
        <v>46000</v>
      </c>
      <c r="I27" t="s">
        <v>17</v>
      </c>
      <c r="J27">
        <v>50671148</v>
      </c>
      <c r="K27">
        <v>992594190.83760798</v>
      </c>
      <c r="L27">
        <v>0.265306122448979</v>
      </c>
      <c r="M27">
        <v>34609414.0119799</v>
      </c>
      <c r="N27">
        <v>573905293.418455</v>
      </c>
      <c r="O27">
        <v>0.45306122448979502</v>
      </c>
    </row>
    <row r="28" spans="1:15" x14ac:dyDescent="0.25">
      <c r="A28" t="s">
        <v>15</v>
      </c>
      <c r="B28">
        <v>50</v>
      </c>
      <c r="C28">
        <v>63.85</v>
      </c>
      <c r="D28">
        <v>0</v>
      </c>
      <c r="E28">
        <v>0</v>
      </c>
      <c r="F28">
        <v>7</v>
      </c>
      <c r="G28" t="s">
        <v>42</v>
      </c>
      <c r="H28" s="1">
        <v>46015</v>
      </c>
      <c r="I28" t="s">
        <v>20</v>
      </c>
      <c r="J28">
        <v>64106420</v>
      </c>
      <c r="K28">
        <v>992594190.83760798</v>
      </c>
      <c r="L28">
        <v>0.265306122448979</v>
      </c>
      <c r="M28">
        <v>64106420</v>
      </c>
      <c r="N28">
        <v>573905293.418455</v>
      </c>
      <c r="O28">
        <v>0.45306122448979502</v>
      </c>
    </row>
    <row r="29" spans="1:15" x14ac:dyDescent="0.25">
      <c r="A29" t="s">
        <v>15</v>
      </c>
      <c r="B29">
        <v>50</v>
      </c>
      <c r="C29">
        <v>63.8</v>
      </c>
      <c r="D29">
        <v>-5.0000000000004201E-2</v>
      </c>
      <c r="E29">
        <v>-7.8308535630390304E-4</v>
      </c>
      <c r="F29">
        <v>8</v>
      </c>
      <c r="G29" t="s">
        <v>43</v>
      </c>
      <c r="H29" s="1">
        <v>45957</v>
      </c>
      <c r="I29" t="s">
        <v>20</v>
      </c>
      <c r="J29">
        <v>104776108</v>
      </c>
      <c r="K29">
        <v>1364502880.83761</v>
      </c>
      <c r="L29">
        <v>0.43877551020408101</v>
      </c>
      <c r="M29">
        <v>24439891.372205898</v>
      </c>
      <c r="N29">
        <v>967896077.07502902</v>
      </c>
      <c r="O29">
        <v>0.81428571428571395</v>
      </c>
    </row>
    <row r="30" spans="1:15" x14ac:dyDescent="0.25">
      <c r="A30" t="s">
        <v>15</v>
      </c>
      <c r="B30">
        <v>50</v>
      </c>
      <c r="C30">
        <v>63.8</v>
      </c>
      <c r="D30">
        <v>-5.0000000000004201E-2</v>
      </c>
      <c r="E30">
        <v>-7.8308535630390304E-4</v>
      </c>
      <c r="F30">
        <v>8</v>
      </c>
      <c r="G30" t="s">
        <v>44</v>
      </c>
      <c r="H30" s="1">
        <v>46000</v>
      </c>
      <c r="I30" t="s">
        <v>22</v>
      </c>
      <c r="J30">
        <v>50671148</v>
      </c>
      <c r="K30">
        <v>1364502880.83761</v>
      </c>
      <c r="L30">
        <v>0.43877551020408101</v>
      </c>
      <c r="M30">
        <v>34609414.0119799</v>
      </c>
      <c r="N30">
        <v>967896077.07502902</v>
      </c>
      <c r="O30">
        <v>0.81428571428571395</v>
      </c>
    </row>
    <row r="31" spans="1:15" x14ac:dyDescent="0.25">
      <c r="A31" t="s">
        <v>15</v>
      </c>
      <c r="B31">
        <v>50</v>
      </c>
      <c r="C31">
        <v>63.8</v>
      </c>
      <c r="D31">
        <v>-5.0000000000004201E-2</v>
      </c>
      <c r="E31">
        <v>-7.8308535630390304E-4</v>
      </c>
      <c r="F31">
        <v>8</v>
      </c>
      <c r="G31" t="s">
        <v>45</v>
      </c>
      <c r="H31" s="1">
        <v>46003</v>
      </c>
      <c r="I31" t="s">
        <v>17</v>
      </c>
      <c r="J31">
        <v>60240146</v>
      </c>
      <c r="K31">
        <v>1364502880.83761</v>
      </c>
      <c r="L31">
        <v>0.43877551020408101</v>
      </c>
      <c r="M31">
        <v>45653493.630602501</v>
      </c>
      <c r="N31">
        <v>967896077.07502902</v>
      </c>
      <c r="O31">
        <v>0.81428571428571395</v>
      </c>
    </row>
    <row r="32" spans="1:15" x14ac:dyDescent="0.25">
      <c r="A32" t="s">
        <v>15</v>
      </c>
      <c r="B32">
        <v>50</v>
      </c>
      <c r="C32">
        <v>63.8</v>
      </c>
      <c r="D32">
        <v>-5.0000000000004201E-2</v>
      </c>
      <c r="E32">
        <v>-7.8308535630390304E-4</v>
      </c>
      <c r="F32">
        <v>8</v>
      </c>
      <c r="G32" t="s">
        <v>45</v>
      </c>
      <c r="H32" s="1">
        <v>46014</v>
      </c>
      <c r="I32" t="s">
        <v>17</v>
      </c>
      <c r="J32">
        <v>101867829</v>
      </c>
      <c r="K32">
        <v>1364502880.83761</v>
      </c>
      <c r="L32">
        <v>0.43877551020408101</v>
      </c>
      <c r="M32">
        <v>98397836.779803902</v>
      </c>
      <c r="N32">
        <v>967896077.07502902</v>
      </c>
      <c r="O32">
        <v>0.81428571428571395</v>
      </c>
    </row>
    <row r="33" spans="1:15" x14ac:dyDescent="0.25">
      <c r="A33" t="s">
        <v>15</v>
      </c>
      <c r="B33">
        <v>50</v>
      </c>
      <c r="C33">
        <v>63.75</v>
      </c>
      <c r="D33">
        <v>-0.100000000000001</v>
      </c>
      <c r="E33">
        <v>-1.5661707126076901E-3</v>
      </c>
      <c r="F33">
        <v>8</v>
      </c>
      <c r="G33" t="s">
        <v>44</v>
      </c>
      <c r="H33" s="1">
        <v>45957</v>
      </c>
      <c r="I33" t="s">
        <v>22</v>
      </c>
      <c r="J33">
        <v>104776108</v>
      </c>
      <c r="K33">
        <v>1364502880.83761</v>
      </c>
      <c r="L33">
        <v>0.43877551020408101</v>
      </c>
      <c r="M33">
        <v>24439891.372205898</v>
      </c>
      <c r="N33">
        <v>967896077.07502902</v>
      </c>
      <c r="O33">
        <v>0.81428571428571395</v>
      </c>
    </row>
    <row r="34" spans="1:15" x14ac:dyDescent="0.25">
      <c r="A34" t="s">
        <v>15</v>
      </c>
      <c r="B34">
        <v>50</v>
      </c>
      <c r="C34">
        <v>63.75</v>
      </c>
      <c r="D34">
        <v>-0.100000000000001</v>
      </c>
      <c r="E34">
        <v>-1.5661707126076901E-3</v>
      </c>
      <c r="F34">
        <v>8</v>
      </c>
      <c r="G34" t="s">
        <v>46</v>
      </c>
      <c r="H34" s="1">
        <v>46015</v>
      </c>
      <c r="I34" t="s">
        <v>29</v>
      </c>
      <c r="J34">
        <v>64106420</v>
      </c>
      <c r="K34">
        <v>1364502880.83761</v>
      </c>
      <c r="L34">
        <v>0.43877551020408101</v>
      </c>
      <c r="M34">
        <v>64106420</v>
      </c>
      <c r="N34">
        <v>967896077.07502902</v>
      </c>
      <c r="O34">
        <v>0.81428571428571395</v>
      </c>
    </row>
    <row r="35" spans="1:15" x14ac:dyDescent="0.25">
      <c r="A35" t="s">
        <v>15</v>
      </c>
      <c r="B35">
        <v>50</v>
      </c>
      <c r="C35">
        <v>63.7</v>
      </c>
      <c r="D35">
        <v>-0.149999999999998</v>
      </c>
      <c r="E35">
        <v>-2.3492560689114799E-3</v>
      </c>
      <c r="F35">
        <v>10</v>
      </c>
      <c r="G35" t="s">
        <v>47</v>
      </c>
      <c r="H35" s="1">
        <v>45958</v>
      </c>
      <c r="I35" t="s">
        <v>17</v>
      </c>
      <c r="J35">
        <v>99770041</v>
      </c>
      <c r="K35">
        <v>1549062889.03368</v>
      </c>
      <c r="L35">
        <v>0.60204081632652995</v>
      </c>
      <c r="M35">
        <v>24092876.785055298</v>
      </c>
      <c r="N35">
        <v>903643142.38038003</v>
      </c>
      <c r="O35">
        <v>0.74081632653061202</v>
      </c>
    </row>
    <row r="36" spans="1:15" x14ac:dyDescent="0.25">
      <c r="A36" t="s">
        <v>15</v>
      </c>
      <c r="B36">
        <v>50</v>
      </c>
      <c r="C36">
        <v>63.7</v>
      </c>
      <c r="D36">
        <v>-0.149999999999998</v>
      </c>
      <c r="E36">
        <v>-2.3492560689114799E-3</v>
      </c>
      <c r="F36">
        <v>10</v>
      </c>
      <c r="G36" t="s">
        <v>48</v>
      </c>
      <c r="H36" s="1">
        <v>45959</v>
      </c>
      <c r="I36" t="s">
        <v>22</v>
      </c>
      <c r="J36">
        <v>67414369</v>
      </c>
      <c r="K36">
        <v>1549062889.03368</v>
      </c>
      <c r="L36">
        <v>0.60204081632652995</v>
      </c>
      <c r="M36">
        <v>16853592.25</v>
      </c>
      <c r="N36">
        <v>903643142.38038003</v>
      </c>
      <c r="O36">
        <v>0.74081632653061202</v>
      </c>
    </row>
    <row r="37" spans="1:15" x14ac:dyDescent="0.25">
      <c r="A37" t="s">
        <v>15</v>
      </c>
      <c r="B37">
        <v>50</v>
      </c>
      <c r="C37">
        <v>63.7</v>
      </c>
      <c r="D37">
        <v>-0.149999999999998</v>
      </c>
      <c r="E37">
        <v>-2.3492560689114799E-3</v>
      </c>
      <c r="F37">
        <v>10</v>
      </c>
      <c r="G37" t="s">
        <v>49</v>
      </c>
      <c r="H37" s="1">
        <v>45959</v>
      </c>
      <c r="I37" t="s">
        <v>29</v>
      </c>
      <c r="J37">
        <v>67414369</v>
      </c>
      <c r="K37">
        <v>1549062889.03368</v>
      </c>
      <c r="L37">
        <v>0.60204081632652995</v>
      </c>
      <c r="M37">
        <v>16853592.25</v>
      </c>
      <c r="N37">
        <v>903643142.38038003</v>
      </c>
      <c r="O37">
        <v>0.74081632653061202</v>
      </c>
    </row>
    <row r="38" spans="1:15" x14ac:dyDescent="0.25">
      <c r="A38" t="s">
        <v>15</v>
      </c>
      <c r="B38">
        <v>50</v>
      </c>
      <c r="C38">
        <v>63.7</v>
      </c>
      <c r="D38">
        <v>-0.149999999999998</v>
      </c>
      <c r="E38">
        <v>-2.3492560689114799E-3</v>
      </c>
      <c r="F38">
        <v>10</v>
      </c>
      <c r="G38" t="s">
        <v>47</v>
      </c>
      <c r="H38" s="1">
        <v>45972</v>
      </c>
      <c r="I38" t="s">
        <v>17</v>
      </c>
      <c r="J38">
        <v>79723934</v>
      </c>
      <c r="K38">
        <v>1549062889.03368</v>
      </c>
      <c r="L38">
        <v>0.60204081632652995</v>
      </c>
      <c r="M38">
        <v>27226525.817707598</v>
      </c>
      <c r="N38">
        <v>903643142.38038003</v>
      </c>
      <c r="O38">
        <v>0.74081632653061202</v>
      </c>
    </row>
    <row r="39" spans="1:15" x14ac:dyDescent="0.25">
      <c r="A39" t="s">
        <v>15</v>
      </c>
      <c r="B39">
        <v>50</v>
      </c>
      <c r="C39">
        <v>63.7</v>
      </c>
      <c r="D39">
        <v>-0.149999999999998</v>
      </c>
      <c r="E39">
        <v>-2.3492560689114799E-3</v>
      </c>
      <c r="F39">
        <v>10</v>
      </c>
      <c r="G39" t="s">
        <v>50</v>
      </c>
      <c r="H39" s="1">
        <v>45999</v>
      </c>
      <c r="I39" t="s">
        <v>20</v>
      </c>
      <c r="J39">
        <v>78686347</v>
      </c>
      <c r="K39">
        <v>1549062889.03368</v>
      </c>
      <c r="L39">
        <v>0.60204081632652995</v>
      </c>
      <c r="M39">
        <v>51913628.668160498</v>
      </c>
      <c r="N39">
        <v>903643142.38038003</v>
      </c>
      <c r="O39">
        <v>0.74081632653061202</v>
      </c>
    </row>
    <row r="40" spans="1:15" x14ac:dyDescent="0.25">
      <c r="A40" t="s">
        <v>15</v>
      </c>
      <c r="B40">
        <v>50</v>
      </c>
      <c r="C40">
        <v>63.7</v>
      </c>
      <c r="D40">
        <v>-0.149999999999998</v>
      </c>
      <c r="E40">
        <v>-2.3492560689114799E-3</v>
      </c>
      <c r="F40">
        <v>10</v>
      </c>
      <c r="G40" t="s">
        <v>47</v>
      </c>
      <c r="H40" s="1">
        <v>45999</v>
      </c>
      <c r="I40" t="s">
        <v>17</v>
      </c>
      <c r="J40">
        <v>78686347</v>
      </c>
      <c r="K40">
        <v>1549062889.03368</v>
      </c>
      <c r="L40">
        <v>0.60204081632652995</v>
      </c>
      <c r="M40">
        <v>51913628.668160498</v>
      </c>
      <c r="N40">
        <v>903643142.38038003</v>
      </c>
      <c r="O40">
        <v>0.74081632653061202</v>
      </c>
    </row>
    <row r="41" spans="1:15" x14ac:dyDescent="0.25">
      <c r="A41" t="s">
        <v>15</v>
      </c>
      <c r="B41">
        <v>50</v>
      </c>
      <c r="C41">
        <v>63.7</v>
      </c>
      <c r="D41">
        <v>-0.149999999999998</v>
      </c>
      <c r="E41">
        <v>-2.3492560689114799E-3</v>
      </c>
      <c r="F41">
        <v>10</v>
      </c>
      <c r="G41" t="s">
        <v>48</v>
      </c>
      <c r="H41" s="1">
        <v>46001</v>
      </c>
      <c r="I41" t="s">
        <v>22</v>
      </c>
      <c r="J41">
        <v>66717948</v>
      </c>
      <c r="K41">
        <v>1549062889.03368</v>
      </c>
      <c r="L41">
        <v>0.60204081632652995</v>
      </c>
      <c r="M41">
        <v>47176713.457651399</v>
      </c>
      <c r="N41">
        <v>903643142.38038003</v>
      </c>
      <c r="O41">
        <v>0.74081632653061202</v>
      </c>
    </row>
    <row r="42" spans="1:15" x14ac:dyDescent="0.25">
      <c r="A42" t="s">
        <v>15</v>
      </c>
      <c r="B42">
        <v>50</v>
      </c>
      <c r="C42">
        <v>63.7</v>
      </c>
      <c r="D42">
        <v>-0.149999999999998</v>
      </c>
      <c r="E42">
        <v>-2.3492560689114799E-3</v>
      </c>
      <c r="F42">
        <v>10</v>
      </c>
      <c r="G42" t="s">
        <v>50</v>
      </c>
      <c r="H42" s="1">
        <v>46014</v>
      </c>
      <c r="I42" t="s">
        <v>20</v>
      </c>
      <c r="J42">
        <v>101867829</v>
      </c>
      <c r="K42">
        <v>1549062889.03368</v>
      </c>
      <c r="L42">
        <v>0.60204081632652995</v>
      </c>
      <c r="M42">
        <v>98397836.779803902</v>
      </c>
      <c r="N42">
        <v>903643142.38038003</v>
      </c>
      <c r="O42">
        <v>0.74081632653061202</v>
      </c>
    </row>
    <row r="43" spans="1:15" x14ac:dyDescent="0.25">
      <c r="A43" t="s">
        <v>15</v>
      </c>
      <c r="B43">
        <v>50</v>
      </c>
      <c r="C43">
        <v>63.65</v>
      </c>
      <c r="D43">
        <v>-0.20000000000000201</v>
      </c>
      <c r="E43">
        <v>-3.1323414252153901E-3</v>
      </c>
      <c r="F43">
        <v>10</v>
      </c>
      <c r="G43" t="s">
        <v>51</v>
      </c>
      <c r="H43" s="1">
        <v>45951</v>
      </c>
      <c r="I43" t="s">
        <v>17</v>
      </c>
      <c r="J43">
        <v>128793394</v>
      </c>
      <c r="K43">
        <v>1673832720.3670199</v>
      </c>
      <c r="L43">
        <v>0.65714285714285703</v>
      </c>
      <c r="M43">
        <v>27075475.8307398</v>
      </c>
      <c r="N43">
        <v>926297479.09827995</v>
      </c>
      <c r="O43">
        <v>0.77551020408163196</v>
      </c>
    </row>
    <row r="44" spans="1:15" x14ac:dyDescent="0.25">
      <c r="A44" t="s">
        <v>15</v>
      </c>
      <c r="B44">
        <v>50</v>
      </c>
      <c r="C44">
        <v>63.65</v>
      </c>
      <c r="D44">
        <v>-0.20000000000000201</v>
      </c>
      <c r="E44">
        <v>-3.1323414252153901E-3</v>
      </c>
      <c r="F44">
        <v>10</v>
      </c>
      <c r="G44" t="s">
        <v>52</v>
      </c>
      <c r="H44" s="1">
        <v>45972</v>
      </c>
      <c r="I44" t="s">
        <v>22</v>
      </c>
      <c r="J44">
        <v>79723934</v>
      </c>
      <c r="K44">
        <v>1673832720.3670199</v>
      </c>
      <c r="L44">
        <v>0.65714285714285703</v>
      </c>
      <c r="M44">
        <v>27226525.817707598</v>
      </c>
      <c r="N44">
        <v>926297479.09827995</v>
      </c>
      <c r="O44">
        <v>0.77551020408163196</v>
      </c>
    </row>
    <row r="45" spans="1:15" x14ac:dyDescent="0.25">
      <c r="A45" t="s">
        <v>15</v>
      </c>
      <c r="B45">
        <v>50</v>
      </c>
      <c r="C45">
        <v>63.65</v>
      </c>
      <c r="D45">
        <v>-0.20000000000000201</v>
      </c>
      <c r="E45">
        <v>-3.1323414252153901E-3</v>
      </c>
      <c r="F45">
        <v>10</v>
      </c>
      <c r="G45" t="s">
        <v>53</v>
      </c>
      <c r="H45" s="1">
        <v>46001</v>
      </c>
      <c r="I45" t="s">
        <v>29</v>
      </c>
      <c r="J45">
        <v>66717948</v>
      </c>
      <c r="K45">
        <v>1673832720.3670199</v>
      </c>
      <c r="L45">
        <v>0.65714285714285703</v>
      </c>
      <c r="M45">
        <v>47176713.457651399</v>
      </c>
      <c r="N45">
        <v>926297479.09827995</v>
      </c>
      <c r="O45">
        <v>0.77551020408163196</v>
      </c>
    </row>
    <row r="46" spans="1:15" x14ac:dyDescent="0.25">
      <c r="A46" t="s">
        <v>15</v>
      </c>
      <c r="B46">
        <v>50</v>
      </c>
      <c r="C46">
        <v>63.6</v>
      </c>
      <c r="D46">
        <v>-0.25</v>
      </c>
      <c r="E46">
        <v>-3.9154267815191797E-3</v>
      </c>
      <c r="F46">
        <v>9</v>
      </c>
      <c r="G46" t="s">
        <v>54</v>
      </c>
      <c r="H46" s="1">
        <v>46000</v>
      </c>
      <c r="I46" t="s">
        <v>20</v>
      </c>
      <c r="J46">
        <v>50671148</v>
      </c>
      <c r="K46">
        <v>1552527360.3670199</v>
      </c>
      <c r="L46">
        <v>0.62653061224489703</v>
      </c>
      <c r="M46">
        <v>34609414.0119799</v>
      </c>
      <c r="N46">
        <v>840521636.44800496</v>
      </c>
      <c r="O46">
        <v>0.64285714285714202</v>
      </c>
    </row>
    <row r="47" spans="1:15" x14ac:dyDescent="0.25">
      <c r="A47" t="s">
        <v>15</v>
      </c>
      <c r="B47">
        <v>50</v>
      </c>
      <c r="C47">
        <v>63.55</v>
      </c>
      <c r="D47">
        <v>-0.30000000000000399</v>
      </c>
      <c r="E47">
        <v>-4.6985121378230804E-3</v>
      </c>
      <c r="F47">
        <v>9</v>
      </c>
      <c r="G47" t="s">
        <v>55</v>
      </c>
      <c r="H47" s="1">
        <v>45958</v>
      </c>
      <c r="I47" t="s">
        <v>22</v>
      </c>
      <c r="J47">
        <v>99770041</v>
      </c>
      <c r="K47">
        <v>1552527360.3670199</v>
      </c>
      <c r="L47">
        <v>0.62653061224489703</v>
      </c>
      <c r="M47">
        <v>24092876.785055298</v>
      </c>
      <c r="N47">
        <v>840521636.44800496</v>
      </c>
      <c r="O47">
        <v>0.64285714285714202</v>
      </c>
    </row>
    <row r="48" spans="1:15" x14ac:dyDescent="0.25">
      <c r="A48" t="s">
        <v>15</v>
      </c>
      <c r="B48">
        <v>50</v>
      </c>
      <c r="C48">
        <v>63.55</v>
      </c>
      <c r="D48">
        <v>-0.30000000000000399</v>
      </c>
      <c r="E48">
        <v>-4.6985121378230804E-3</v>
      </c>
      <c r="F48">
        <v>9</v>
      </c>
      <c r="G48" t="s">
        <v>56</v>
      </c>
      <c r="H48" s="1">
        <v>46000</v>
      </c>
      <c r="I48" t="s">
        <v>29</v>
      </c>
      <c r="J48">
        <v>50671148</v>
      </c>
      <c r="K48">
        <v>1552527360.3670199</v>
      </c>
      <c r="L48">
        <v>0.62653061224489703</v>
      </c>
      <c r="M48">
        <v>34609414.0119799</v>
      </c>
      <c r="N48">
        <v>840521636.44800496</v>
      </c>
      <c r="O48">
        <v>0.64285714285714202</v>
      </c>
    </row>
    <row r="49" spans="1:15" x14ac:dyDescent="0.25">
      <c r="A49" t="s">
        <v>15</v>
      </c>
      <c r="B49">
        <v>50</v>
      </c>
      <c r="C49">
        <v>63.55</v>
      </c>
      <c r="D49">
        <v>-0.30000000000000399</v>
      </c>
      <c r="E49">
        <v>-4.6985121378230804E-3</v>
      </c>
      <c r="F49">
        <v>9</v>
      </c>
      <c r="G49" t="s">
        <v>55</v>
      </c>
      <c r="H49" s="1">
        <v>46003</v>
      </c>
      <c r="I49" t="s">
        <v>22</v>
      </c>
      <c r="J49">
        <v>60240146</v>
      </c>
      <c r="K49">
        <v>1552527360.3670199</v>
      </c>
      <c r="L49">
        <v>0.62653061224489703</v>
      </c>
      <c r="M49">
        <v>45653493.630602501</v>
      </c>
      <c r="N49">
        <v>840521636.44800496</v>
      </c>
      <c r="O49">
        <v>0.64285714285714202</v>
      </c>
    </row>
    <row r="50" spans="1:15" x14ac:dyDescent="0.25">
      <c r="A50" t="s">
        <v>15</v>
      </c>
      <c r="B50">
        <v>50</v>
      </c>
      <c r="C50">
        <v>63.5</v>
      </c>
      <c r="D50">
        <v>-0.35000000000000098</v>
      </c>
      <c r="E50">
        <v>-5.4815974941268804E-3</v>
      </c>
      <c r="F50">
        <v>9</v>
      </c>
      <c r="G50" t="s">
        <v>57</v>
      </c>
      <c r="H50" s="1">
        <v>45967</v>
      </c>
      <c r="I50" t="s">
        <v>17</v>
      </c>
      <c r="J50">
        <v>68680372</v>
      </c>
      <c r="K50">
        <v>1579853167.9860699</v>
      </c>
      <c r="L50">
        <v>0.64081632653061205</v>
      </c>
      <c r="M50">
        <v>21138864.0735626</v>
      </c>
      <c r="N50">
        <v>785553677.57063305</v>
      </c>
      <c r="O50">
        <v>0.59591836734693804</v>
      </c>
    </row>
    <row r="51" spans="1:15" x14ac:dyDescent="0.25">
      <c r="A51" t="s">
        <v>15</v>
      </c>
      <c r="B51">
        <v>50</v>
      </c>
      <c r="C51">
        <v>63.5</v>
      </c>
      <c r="D51">
        <v>-0.35000000000000098</v>
      </c>
      <c r="E51">
        <v>-5.4815974941268804E-3</v>
      </c>
      <c r="F51">
        <v>9</v>
      </c>
      <c r="G51" t="s">
        <v>58</v>
      </c>
      <c r="H51" s="1">
        <v>46014</v>
      </c>
      <c r="I51" t="s">
        <v>22</v>
      </c>
      <c r="J51">
        <v>101867829</v>
      </c>
      <c r="K51">
        <v>1579853167.9860699</v>
      </c>
      <c r="L51">
        <v>0.64081632653061205</v>
      </c>
      <c r="M51">
        <v>98397836.779803902</v>
      </c>
      <c r="N51">
        <v>785553677.57063305</v>
      </c>
      <c r="O51">
        <v>0.59591836734693804</v>
      </c>
    </row>
    <row r="52" spans="1:15" x14ac:dyDescent="0.25">
      <c r="A52" t="s">
        <v>15</v>
      </c>
      <c r="B52">
        <v>50</v>
      </c>
      <c r="C52">
        <v>63.5</v>
      </c>
      <c r="D52">
        <v>-0.35000000000000098</v>
      </c>
      <c r="E52">
        <v>-5.4815974941268804E-3</v>
      </c>
      <c r="F52">
        <v>9</v>
      </c>
      <c r="G52" t="s">
        <v>59</v>
      </c>
      <c r="H52" s="1">
        <v>46014</v>
      </c>
      <c r="I52" t="s">
        <v>29</v>
      </c>
      <c r="J52">
        <v>101867829</v>
      </c>
      <c r="K52">
        <v>1579853167.9860699</v>
      </c>
      <c r="L52">
        <v>0.64081632653061205</v>
      </c>
      <c r="M52">
        <v>98397836.779803902</v>
      </c>
      <c r="N52">
        <v>785553677.57063305</v>
      </c>
      <c r="O52">
        <v>0.59591836734693804</v>
      </c>
    </row>
    <row r="53" spans="1:15" x14ac:dyDescent="0.25">
      <c r="A53" t="s">
        <v>15</v>
      </c>
      <c r="B53">
        <v>50</v>
      </c>
      <c r="C53">
        <v>63.45</v>
      </c>
      <c r="D53">
        <v>-0.39999999999999802</v>
      </c>
      <c r="E53">
        <v>-6.26468285043067E-3</v>
      </c>
      <c r="F53">
        <v>9</v>
      </c>
      <c r="G53" t="s">
        <v>60</v>
      </c>
      <c r="H53" s="1">
        <v>45957</v>
      </c>
      <c r="I53" t="s">
        <v>29</v>
      </c>
      <c r="J53">
        <v>104776108</v>
      </c>
      <c r="K53">
        <v>1475000082.9860599</v>
      </c>
      <c r="L53">
        <v>0.55510204081632597</v>
      </c>
      <c r="M53">
        <v>24439891.372205898</v>
      </c>
      <c r="N53">
        <v>676549651.51263297</v>
      </c>
      <c r="O53">
        <v>0.55102040816326503</v>
      </c>
    </row>
    <row r="54" spans="1:15" x14ac:dyDescent="0.25">
      <c r="A54" t="s">
        <v>15</v>
      </c>
      <c r="B54">
        <v>50</v>
      </c>
      <c r="C54">
        <v>63.45</v>
      </c>
      <c r="D54">
        <v>-0.39999999999999802</v>
      </c>
      <c r="E54">
        <v>-6.26468285043067E-3</v>
      </c>
      <c r="F54">
        <v>9</v>
      </c>
      <c r="G54" t="s">
        <v>61</v>
      </c>
      <c r="H54" s="1">
        <v>46003</v>
      </c>
      <c r="I54" t="s">
        <v>20</v>
      </c>
      <c r="J54">
        <v>60240146</v>
      </c>
      <c r="K54">
        <v>1475000082.9860599</v>
      </c>
      <c r="L54">
        <v>0.55510204081632597</v>
      </c>
      <c r="M54">
        <v>45653493.630602501</v>
      </c>
      <c r="N54">
        <v>676549651.51263297</v>
      </c>
      <c r="O54">
        <v>0.55102040816326503</v>
      </c>
    </row>
    <row r="55" spans="1:15" x14ac:dyDescent="0.25">
      <c r="A55" t="s">
        <v>15</v>
      </c>
      <c r="B55">
        <v>50</v>
      </c>
      <c r="C55">
        <v>63.45</v>
      </c>
      <c r="D55">
        <v>-0.39999999999999802</v>
      </c>
      <c r="E55">
        <v>-6.26468285043067E-3</v>
      </c>
      <c r="F55">
        <v>9</v>
      </c>
      <c r="G55" t="s">
        <v>62</v>
      </c>
      <c r="H55" s="1">
        <v>46013</v>
      </c>
      <c r="I55" t="s">
        <v>17</v>
      </c>
      <c r="J55">
        <v>93882538</v>
      </c>
      <c r="K55">
        <v>1475000082.9860599</v>
      </c>
      <c r="L55">
        <v>0.55510204081632597</v>
      </c>
      <c r="M55">
        <v>87595505.283207998</v>
      </c>
      <c r="N55">
        <v>676549651.51263297</v>
      </c>
      <c r="O55">
        <v>0.55102040816326503</v>
      </c>
    </row>
    <row r="56" spans="1:15" x14ac:dyDescent="0.25">
      <c r="A56" t="s">
        <v>15</v>
      </c>
      <c r="B56">
        <v>50</v>
      </c>
      <c r="C56">
        <v>63.4</v>
      </c>
      <c r="D56">
        <v>-0.45000000000000201</v>
      </c>
      <c r="E56">
        <v>-7.0477682067345698E-3</v>
      </c>
      <c r="F56">
        <v>8</v>
      </c>
      <c r="G56" t="s">
        <v>63</v>
      </c>
      <c r="H56" s="1">
        <v>45951</v>
      </c>
      <c r="I56" t="s">
        <v>22</v>
      </c>
      <c r="J56">
        <v>128793394</v>
      </c>
      <c r="K56">
        <v>1242164287.4305</v>
      </c>
      <c r="L56">
        <v>0.36122448979591798</v>
      </c>
      <c r="M56">
        <v>27075475.8307398</v>
      </c>
      <c r="N56">
        <v>622238781.79662001</v>
      </c>
      <c r="O56">
        <v>0.48775510204081601</v>
      </c>
    </row>
    <row r="57" spans="1:15" x14ac:dyDescent="0.25">
      <c r="A57" t="s">
        <v>15</v>
      </c>
      <c r="B57">
        <v>50</v>
      </c>
      <c r="C57">
        <v>63.4</v>
      </c>
      <c r="D57">
        <v>-0.45000000000000201</v>
      </c>
      <c r="E57">
        <v>-7.0477682067345698E-3</v>
      </c>
      <c r="F57">
        <v>8</v>
      </c>
      <c r="G57" t="s">
        <v>64</v>
      </c>
      <c r="H57" s="1">
        <v>46013</v>
      </c>
      <c r="I57" t="s">
        <v>20</v>
      </c>
      <c r="J57">
        <v>93882538</v>
      </c>
      <c r="K57">
        <v>1242164287.4305</v>
      </c>
      <c r="L57">
        <v>0.36122448979591798</v>
      </c>
      <c r="M57">
        <v>87595505.283207998</v>
      </c>
      <c r="N57">
        <v>622238781.79662001</v>
      </c>
      <c r="O57">
        <v>0.48775510204081601</v>
      </c>
    </row>
    <row r="58" spans="1:15" x14ac:dyDescent="0.25">
      <c r="A58" t="s">
        <v>15</v>
      </c>
      <c r="B58">
        <v>50</v>
      </c>
      <c r="C58">
        <v>63.35</v>
      </c>
      <c r="D58">
        <v>-0.5</v>
      </c>
      <c r="E58">
        <v>-7.8308535630383699E-3</v>
      </c>
      <c r="F58">
        <v>9</v>
      </c>
      <c r="G58" t="s">
        <v>65</v>
      </c>
      <c r="H58" s="1">
        <v>45958</v>
      </c>
      <c r="I58" t="s">
        <v>20</v>
      </c>
      <c r="J58">
        <v>99770041</v>
      </c>
      <c r="K58">
        <v>1353005444.7638299</v>
      </c>
      <c r="L58">
        <v>0.41632653061224401</v>
      </c>
      <c r="M58">
        <v>24092876.785055298</v>
      </c>
      <c r="N58">
        <v>658802727.78175902</v>
      </c>
      <c r="O58">
        <v>0.53469387755102005</v>
      </c>
    </row>
    <row r="59" spans="1:15" x14ac:dyDescent="0.25">
      <c r="A59" t="s">
        <v>15</v>
      </c>
      <c r="B59">
        <v>50</v>
      </c>
      <c r="C59">
        <v>63.35</v>
      </c>
      <c r="D59">
        <v>-0.5</v>
      </c>
      <c r="E59">
        <v>-7.8308535630383699E-3</v>
      </c>
      <c r="F59">
        <v>9</v>
      </c>
      <c r="G59" t="s">
        <v>66</v>
      </c>
      <c r="H59" s="1">
        <v>45967</v>
      </c>
      <c r="I59" t="s">
        <v>22</v>
      </c>
      <c r="J59">
        <v>68680372</v>
      </c>
      <c r="K59">
        <v>1353005444.7638299</v>
      </c>
      <c r="L59">
        <v>0.41632653061224401</v>
      </c>
      <c r="M59">
        <v>21138864.0735626</v>
      </c>
      <c r="N59">
        <v>658802727.78175902</v>
      </c>
      <c r="O59">
        <v>0.53469387755102005</v>
      </c>
    </row>
    <row r="60" spans="1:15" x14ac:dyDescent="0.25">
      <c r="A60" t="s">
        <v>15</v>
      </c>
      <c r="B60">
        <v>50</v>
      </c>
      <c r="C60">
        <v>63.35</v>
      </c>
      <c r="D60">
        <v>-0.5</v>
      </c>
      <c r="E60">
        <v>-7.8308535630383699E-3</v>
      </c>
      <c r="F60">
        <v>9</v>
      </c>
      <c r="G60" t="s">
        <v>65</v>
      </c>
      <c r="H60" s="1">
        <v>45971</v>
      </c>
      <c r="I60" t="s">
        <v>20</v>
      </c>
      <c r="J60">
        <v>83130868</v>
      </c>
      <c r="K60">
        <v>1353005444.7638299</v>
      </c>
      <c r="L60">
        <v>0.41632653061224401</v>
      </c>
      <c r="M60">
        <v>27422959.4888543</v>
      </c>
      <c r="N60">
        <v>658802727.78175902</v>
      </c>
      <c r="O60">
        <v>0.53469387755102005</v>
      </c>
    </row>
    <row r="61" spans="1:15" x14ac:dyDescent="0.25">
      <c r="A61" t="s">
        <v>15</v>
      </c>
      <c r="B61">
        <v>50</v>
      </c>
      <c r="C61">
        <v>63.35</v>
      </c>
      <c r="D61">
        <v>-0.5</v>
      </c>
      <c r="E61">
        <v>-7.8308535630383699E-3</v>
      </c>
      <c r="F61">
        <v>9</v>
      </c>
      <c r="G61" t="s">
        <v>67</v>
      </c>
      <c r="H61" s="1">
        <v>45971</v>
      </c>
      <c r="I61" t="s">
        <v>17</v>
      </c>
      <c r="J61">
        <v>83130868</v>
      </c>
      <c r="K61">
        <v>1353005444.7638299</v>
      </c>
      <c r="L61">
        <v>0.41632653061224401</v>
      </c>
      <c r="M61">
        <v>27422959.4888543</v>
      </c>
      <c r="N61">
        <v>658802727.78175902</v>
      </c>
      <c r="O61">
        <v>0.53469387755102005</v>
      </c>
    </row>
    <row r="62" spans="1:15" x14ac:dyDescent="0.25">
      <c r="A62" t="s">
        <v>15</v>
      </c>
      <c r="B62">
        <v>50</v>
      </c>
      <c r="C62">
        <v>63.35</v>
      </c>
      <c r="D62">
        <v>-0.5</v>
      </c>
      <c r="E62">
        <v>-7.8308535630383699E-3</v>
      </c>
      <c r="F62">
        <v>9</v>
      </c>
      <c r="G62" t="s">
        <v>65</v>
      </c>
      <c r="H62" s="1">
        <v>46002</v>
      </c>
      <c r="I62" t="s">
        <v>20</v>
      </c>
      <c r="J62">
        <v>101197570</v>
      </c>
      <c r="K62">
        <v>1353005444.7638299</v>
      </c>
      <c r="L62">
        <v>0.41632653061224401</v>
      </c>
      <c r="M62">
        <v>74080957.350728005</v>
      </c>
      <c r="N62">
        <v>658802727.78175902</v>
      </c>
      <c r="O62">
        <v>0.53469387755102005</v>
      </c>
    </row>
    <row r="63" spans="1:15" x14ac:dyDescent="0.25">
      <c r="A63" t="s">
        <v>15</v>
      </c>
      <c r="B63">
        <v>50</v>
      </c>
      <c r="C63">
        <v>63.3</v>
      </c>
      <c r="D63">
        <v>-0.55000000000000404</v>
      </c>
      <c r="E63">
        <v>-8.6139389193422705E-3</v>
      </c>
      <c r="F63">
        <v>10</v>
      </c>
      <c r="G63" t="s">
        <v>68</v>
      </c>
      <c r="H63" s="1">
        <v>45967</v>
      </c>
      <c r="I63" t="s">
        <v>20</v>
      </c>
      <c r="J63">
        <v>68680372</v>
      </c>
      <c r="K63">
        <v>1466860304.76384</v>
      </c>
      <c r="L63">
        <v>0.54081632653061196</v>
      </c>
      <c r="M63">
        <v>21138864.0735626</v>
      </c>
      <c r="N63">
        <v>699056499.57028198</v>
      </c>
      <c r="O63">
        <v>0.56530612244897904</v>
      </c>
    </row>
    <row r="64" spans="1:15" x14ac:dyDescent="0.25">
      <c r="A64" t="s">
        <v>15</v>
      </c>
      <c r="B64">
        <v>50</v>
      </c>
      <c r="C64">
        <v>63.3</v>
      </c>
      <c r="D64">
        <v>-0.55000000000000404</v>
      </c>
      <c r="E64">
        <v>-8.6139389193422705E-3</v>
      </c>
      <c r="F64">
        <v>10</v>
      </c>
      <c r="G64" t="s">
        <v>69</v>
      </c>
      <c r="H64" s="1">
        <v>45973</v>
      </c>
      <c r="I64" t="s">
        <v>17</v>
      </c>
      <c r="J64">
        <v>62620173</v>
      </c>
      <c r="K64">
        <v>1466860304.76384</v>
      </c>
      <c r="L64">
        <v>0.54081632653061196</v>
      </c>
      <c r="M64">
        <v>22139574.4836873</v>
      </c>
      <c r="N64">
        <v>699056499.57028198</v>
      </c>
      <c r="O64">
        <v>0.56530612244897904</v>
      </c>
    </row>
    <row r="65" spans="1:15" x14ac:dyDescent="0.25">
      <c r="A65" t="s">
        <v>15</v>
      </c>
      <c r="B65">
        <v>50</v>
      </c>
      <c r="C65">
        <v>63.3</v>
      </c>
      <c r="D65">
        <v>-0.55000000000000404</v>
      </c>
      <c r="E65">
        <v>-8.6139389193422705E-3</v>
      </c>
      <c r="F65">
        <v>10</v>
      </c>
      <c r="G65" t="s">
        <v>70</v>
      </c>
      <c r="H65" s="1">
        <v>46003</v>
      </c>
      <c r="I65" t="s">
        <v>29</v>
      </c>
      <c r="J65">
        <v>60240146</v>
      </c>
      <c r="K65">
        <v>1466860304.76384</v>
      </c>
      <c r="L65">
        <v>0.54081632653061196</v>
      </c>
      <c r="M65">
        <v>45653493.630602501</v>
      </c>
      <c r="N65">
        <v>699056499.57028198</v>
      </c>
      <c r="O65">
        <v>0.56530612244897904</v>
      </c>
    </row>
    <row r="66" spans="1:15" x14ac:dyDescent="0.25">
      <c r="A66" t="s">
        <v>15</v>
      </c>
      <c r="B66">
        <v>50</v>
      </c>
      <c r="C66">
        <v>63.3</v>
      </c>
      <c r="D66">
        <v>-0.55000000000000404</v>
      </c>
      <c r="E66">
        <v>-8.6139389193422705E-3</v>
      </c>
      <c r="F66">
        <v>10</v>
      </c>
      <c r="G66" t="s">
        <v>71</v>
      </c>
      <c r="H66" s="1">
        <v>46013</v>
      </c>
      <c r="I66" t="s">
        <v>22</v>
      </c>
      <c r="J66">
        <v>93882538</v>
      </c>
      <c r="K66">
        <v>1466860304.76384</v>
      </c>
      <c r="L66">
        <v>0.54081632653061196</v>
      </c>
      <c r="M66">
        <v>87595505.283207998</v>
      </c>
      <c r="N66">
        <v>699056499.57028198</v>
      </c>
      <c r="O66">
        <v>0.56530612244897904</v>
      </c>
    </row>
    <row r="67" spans="1:15" x14ac:dyDescent="0.25">
      <c r="A67" t="s">
        <v>15</v>
      </c>
      <c r="B67">
        <v>50</v>
      </c>
      <c r="C67">
        <v>63.2</v>
      </c>
      <c r="D67">
        <v>-0.64999999999999802</v>
      </c>
      <c r="E67">
        <v>-1.0180109631949799E-2</v>
      </c>
      <c r="F67">
        <v>10</v>
      </c>
      <c r="G67" t="s">
        <v>72</v>
      </c>
      <c r="H67" s="1">
        <v>45950</v>
      </c>
      <c r="I67" t="s">
        <v>17</v>
      </c>
      <c r="J67">
        <v>105854638</v>
      </c>
      <c r="K67">
        <v>1447193953.7162199</v>
      </c>
      <c r="L67">
        <v>0.51020408163265296</v>
      </c>
      <c r="M67">
        <v>21495170.845230401</v>
      </c>
      <c r="N67">
        <v>628221103.59024799</v>
      </c>
      <c r="O67">
        <v>0.50204081632652997</v>
      </c>
    </row>
    <row r="68" spans="1:15" x14ac:dyDescent="0.25">
      <c r="A68" t="s">
        <v>15</v>
      </c>
      <c r="B68">
        <v>50</v>
      </c>
      <c r="C68">
        <v>63.2</v>
      </c>
      <c r="D68">
        <v>-0.64999999999999802</v>
      </c>
      <c r="E68">
        <v>-1.0180109631949799E-2</v>
      </c>
      <c r="F68">
        <v>10</v>
      </c>
      <c r="G68" t="s">
        <v>73</v>
      </c>
      <c r="H68" s="1">
        <v>45951</v>
      </c>
      <c r="I68" t="s">
        <v>20</v>
      </c>
      <c r="J68">
        <v>128793394</v>
      </c>
      <c r="K68">
        <v>1447193953.7162199</v>
      </c>
      <c r="L68">
        <v>0.51020408163265296</v>
      </c>
      <c r="M68">
        <v>27075475.8307398</v>
      </c>
      <c r="N68">
        <v>628221103.59024799</v>
      </c>
      <c r="O68">
        <v>0.50204081632652997</v>
      </c>
    </row>
    <row r="69" spans="1:15" x14ac:dyDescent="0.25">
      <c r="A69" t="s">
        <v>15</v>
      </c>
      <c r="B69">
        <v>50</v>
      </c>
      <c r="C69">
        <v>63.2</v>
      </c>
      <c r="D69">
        <v>-0.64999999999999802</v>
      </c>
      <c r="E69">
        <v>-1.0180109631949799E-2</v>
      </c>
      <c r="F69">
        <v>10</v>
      </c>
      <c r="G69" t="s">
        <v>74</v>
      </c>
      <c r="H69" s="1">
        <v>45958</v>
      </c>
      <c r="I69" t="s">
        <v>29</v>
      </c>
      <c r="J69">
        <v>99770041</v>
      </c>
      <c r="K69">
        <v>1447193953.7162199</v>
      </c>
      <c r="L69">
        <v>0.51020408163265296</v>
      </c>
      <c r="M69">
        <v>24092876.785055298</v>
      </c>
      <c r="N69">
        <v>628221103.59024799</v>
      </c>
      <c r="O69">
        <v>0.50204081632652997</v>
      </c>
    </row>
    <row r="70" spans="1:15" x14ac:dyDescent="0.25">
      <c r="A70" t="s">
        <v>15</v>
      </c>
      <c r="B70">
        <v>50</v>
      </c>
      <c r="C70">
        <v>63.2</v>
      </c>
      <c r="D70">
        <v>-0.64999999999999802</v>
      </c>
      <c r="E70">
        <v>-1.0180109631949799E-2</v>
      </c>
      <c r="F70">
        <v>10</v>
      </c>
      <c r="G70" t="s">
        <v>73</v>
      </c>
      <c r="H70" s="1">
        <v>45973</v>
      </c>
      <c r="I70" t="s">
        <v>20</v>
      </c>
      <c r="J70">
        <v>62620173</v>
      </c>
      <c r="K70">
        <v>1447193953.7162199</v>
      </c>
      <c r="L70">
        <v>0.51020408163265296</v>
      </c>
      <c r="M70">
        <v>22139574.4836873</v>
      </c>
      <c r="N70">
        <v>628221103.59024799</v>
      </c>
      <c r="O70">
        <v>0.50204081632652997</v>
      </c>
    </row>
    <row r="71" spans="1:15" x14ac:dyDescent="0.25">
      <c r="A71" t="s">
        <v>15</v>
      </c>
      <c r="B71">
        <v>50</v>
      </c>
      <c r="C71">
        <v>63.2</v>
      </c>
      <c r="D71">
        <v>-0.64999999999999802</v>
      </c>
      <c r="E71">
        <v>-1.0180109631949799E-2</v>
      </c>
      <c r="F71">
        <v>10</v>
      </c>
      <c r="G71" t="s">
        <v>74</v>
      </c>
      <c r="H71" s="1">
        <v>46002</v>
      </c>
      <c r="I71" t="s">
        <v>29</v>
      </c>
      <c r="J71">
        <v>101197570</v>
      </c>
      <c r="K71">
        <v>1447193953.7162199</v>
      </c>
      <c r="L71">
        <v>0.51020408163265296</v>
      </c>
      <c r="M71">
        <v>74080957.350728005</v>
      </c>
      <c r="N71">
        <v>628221103.59024799</v>
      </c>
      <c r="O71">
        <v>0.50204081632652997</v>
      </c>
    </row>
    <row r="72" spans="1:15" x14ac:dyDescent="0.25">
      <c r="A72" t="s">
        <v>15</v>
      </c>
      <c r="B72">
        <v>50</v>
      </c>
      <c r="C72">
        <v>63.15</v>
      </c>
      <c r="D72">
        <v>-0.70000000000000195</v>
      </c>
      <c r="E72">
        <v>-1.09631949882537E-2</v>
      </c>
      <c r="F72">
        <v>9</v>
      </c>
      <c r="G72" t="s">
        <v>75</v>
      </c>
      <c r="H72" s="1">
        <v>45966</v>
      </c>
      <c r="I72" t="s">
        <v>20</v>
      </c>
      <c r="J72">
        <v>229413552</v>
      </c>
      <c r="K72">
        <v>1439707883.57142</v>
      </c>
      <c r="L72">
        <v>0.49387755102040798</v>
      </c>
      <c r="M72">
        <v>68205057.079111695</v>
      </c>
      <c r="N72">
        <v>603291241.83436894</v>
      </c>
      <c r="O72">
        <v>0.46530612244897901</v>
      </c>
    </row>
    <row r="73" spans="1:15" x14ac:dyDescent="0.25">
      <c r="A73" t="s">
        <v>15</v>
      </c>
      <c r="B73">
        <v>50</v>
      </c>
      <c r="C73">
        <v>63.15</v>
      </c>
      <c r="D73">
        <v>-0.70000000000000195</v>
      </c>
      <c r="E73">
        <v>-1.09631949882537E-2</v>
      </c>
      <c r="F73">
        <v>9</v>
      </c>
      <c r="G73" t="s">
        <v>76</v>
      </c>
      <c r="H73" s="1">
        <v>45966</v>
      </c>
      <c r="I73" t="s">
        <v>17</v>
      </c>
      <c r="J73">
        <v>229413552</v>
      </c>
      <c r="K73">
        <v>1439707883.57142</v>
      </c>
      <c r="L73">
        <v>0.49387755102040798</v>
      </c>
      <c r="M73">
        <v>68205057.079111695</v>
      </c>
      <c r="N73">
        <v>603291241.83436894</v>
      </c>
      <c r="O73">
        <v>0.46530612244897901</v>
      </c>
    </row>
    <row r="74" spans="1:15" x14ac:dyDescent="0.25">
      <c r="A74" t="s">
        <v>15</v>
      </c>
      <c r="B74">
        <v>50</v>
      </c>
      <c r="C74">
        <v>63.15</v>
      </c>
      <c r="D74">
        <v>-0.70000000000000195</v>
      </c>
      <c r="E74">
        <v>-1.09631949882537E-2</v>
      </c>
      <c r="F74">
        <v>9</v>
      </c>
      <c r="G74" t="s">
        <v>77</v>
      </c>
      <c r="H74" s="1">
        <v>45967</v>
      </c>
      <c r="I74" t="s">
        <v>29</v>
      </c>
      <c r="J74">
        <v>68680372</v>
      </c>
      <c r="K74">
        <v>1439707883.57142</v>
      </c>
      <c r="L74">
        <v>0.49387755102040798</v>
      </c>
      <c r="M74">
        <v>21138864.0735626</v>
      </c>
      <c r="N74">
        <v>603291241.83436894</v>
      </c>
      <c r="O74">
        <v>0.46530612244897901</v>
      </c>
    </row>
    <row r="75" spans="1:15" x14ac:dyDescent="0.25">
      <c r="A75" t="s">
        <v>15</v>
      </c>
      <c r="B75">
        <v>50</v>
      </c>
      <c r="C75">
        <v>63.1</v>
      </c>
      <c r="D75">
        <v>-0.75</v>
      </c>
      <c r="E75">
        <v>-1.17462803445575E-2</v>
      </c>
      <c r="F75">
        <v>8</v>
      </c>
      <c r="G75" t="s">
        <v>78</v>
      </c>
      <c r="H75" s="1">
        <v>45950</v>
      </c>
      <c r="I75" t="s">
        <v>20</v>
      </c>
      <c r="J75">
        <v>105854638</v>
      </c>
      <c r="K75">
        <v>1243478249.2857001</v>
      </c>
      <c r="L75">
        <v>0.37346938775510202</v>
      </c>
      <c r="M75">
        <v>21495170.845230401</v>
      </c>
      <c r="N75">
        <v>542894487.33847594</v>
      </c>
      <c r="O75">
        <v>0.42653061224489702</v>
      </c>
    </row>
    <row r="76" spans="1:15" x14ac:dyDescent="0.25">
      <c r="A76" t="s">
        <v>15</v>
      </c>
      <c r="B76">
        <v>50</v>
      </c>
      <c r="C76">
        <v>63.07</v>
      </c>
      <c r="D76">
        <v>-0.77999999999999403</v>
      </c>
      <c r="E76">
        <v>-1.2216131558339701E-2</v>
      </c>
      <c r="F76">
        <v>8</v>
      </c>
      <c r="G76" t="s">
        <v>79</v>
      </c>
      <c r="H76" s="1">
        <v>46015</v>
      </c>
      <c r="I76" t="s">
        <v>80</v>
      </c>
      <c r="J76">
        <v>64106420</v>
      </c>
      <c r="K76">
        <v>1243478249.2857001</v>
      </c>
      <c r="L76">
        <v>0.37346938775510202</v>
      </c>
      <c r="M76">
        <v>64106420</v>
      </c>
      <c r="N76">
        <v>542894487.33847594</v>
      </c>
      <c r="O76">
        <v>0.42653061224489702</v>
      </c>
    </row>
    <row r="77" spans="1:15" x14ac:dyDescent="0.25">
      <c r="A77" t="s">
        <v>15</v>
      </c>
      <c r="B77">
        <v>50</v>
      </c>
      <c r="C77">
        <v>63.05</v>
      </c>
      <c r="D77">
        <v>-0.80000000000000404</v>
      </c>
      <c r="E77">
        <v>-1.2529365700861401E-2</v>
      </c>
      <c r="F77">
        <v>8</v>
      </c>
      <c r="G77" t="s">
        <v>81</v>
      </c>
      <c r="H77" s="1">
        <v>45951</v>
      </c>
      <c r="I77" t="s">
        <v>29</v>
      </c>
      <c r="J77">
        <v>128793394</v>
      </c>
      <c r="K77">
        <v>1243478249.2857001</v>
      </c>
      <c r="L77">
        <v>0.37346938775510202</v>
      </c>
      <c r="M77">
        <v>27075475.8307398</v>
      </c>
      <c r="N77">
        <v>542894487.33847594</v>
      </c>
      <c r="O77">
        <v>0.42653061224489702</v>
      </c>
    </row>
    <row r="78" spans="1:15" x14ac:dyDescent="0.25">
      <c r="A78" t="s">
        <v>15</v>
      </c>
      <c r="B78">
        <v>50</v>
      </c>
      <c r="C78">
        <v>63.05</v>
      </c>
      <c r="D78">
        <v>-0.80000000000000404</v>
      </c>
      <c r="E78">
        <v>-1.2529365700861401E-2</v>
      </c>
      <c r="F78">
        <v>8</v>
      </c>
      <c r="G78" t="s">
        <v>81</v>
      </c>
      <c r="H78" s="1">
        <v>46013</v>
      </c>
      <c r="I78" t="s">
        <v>29</v>
      </c>
      <c r="J78">
        <v>93882538</v>
      </c>
      <c r="K78">
        <v>1243478249.2857001</v>
      </c>
      <c r="L78">
        <v>0.37346938775510202</v>
      </c>
      <c r="M78">
        <v>87595505.283207998</v>
      </c>
      <c r="N78">
        <v>542894487.33847594</v>
      </c>
      <c r="O78">
        <v>0.42653061224489702</v>
      </c>
    </row>
    <row r="79" spans="1:15" x14ac:dyDescent="0.25">
      <c r="A79" t="s">
        <v>15</v>
      </c>
      <c r="B79">
        <v>50</v>
      </c>
      <c r="C79">
        <v>63</v>
      </c>
      <c r="D79">
        <v>-0.85000000000000098</v>
      </c>
      <c r="E79">
        <v>-1.3312451057165201E-2</v>
      </c>
      <c r="F79">
        <v>7</v>
      </c>
      <c r="G79" t="s">
        <v>82</v>
      </c>
      <c r="H79" s="1">
        <v>45946</v>
      </c>
      <c r="I79" t="s">
        <v>20</v>
      </c>
      <c r="J79">
        <v>115801585</v>
      </c>
      <c r="K79">
        <v>922784675.39682496</v>
      </c>
      <c r="L79">
        <v>0.22857142857142801</v>
      </c>
      <c r="M79">
        <v>21940297.601582699</v>
      </c>
      <c r="N79">
        <v>303158039.52543002</v>
      </c>
      <c r="O79">
        <v>0.23265306122448901</v>
      </c>
    </row>
    <row r="80" spans="1:15" x14ac:dyDescent="0.25">
      <c r="A80" t="s">
        <v>15</v>
      </c>
      <c r="B80">
        <v>50</v>
      </c>
      <c r="C80">
        <v>63</v>
      </c>
      <c r="D80">
        <v>-0.85000000000000098</v>
      </c>
      <c r="E80">
        <v>-1.3312451057165201E-2</v>
      </c>
      <c r="F80">
        <v>7</v>
      </c>
      <c r="G80" t="s">
        <v>83</v>
      </c>
      <c r="H80" s="1">
        <v>45946</v>
      </c>
      <c r="I80" t="s">
        <v>17</v>
      </c>
      <c r="J80">
        <v>115801585</v>
      </c>
      <c r="K80">
        <v>922784675.39682496</v>
      </c>
      <c r="L80">
        <v>0.22857142857142801</v>
      </c>
      <c r="M80">
        <v>21940297.601582699</v>
      </c>
      <c r="N80">
        <v>303158039.52543002</v>
      </c>
      <c r="O80">
        <v>0.23265306122448901</v>
      </c>
    </row>
    <row r="81" spans="1:15" x14ac:dyDescent="0.25">
      <c r="A81" t="s">
        <v>15</v>
      </c>
      <c r="B81">
        <v>50</v>
      </c>
      <c r="C81">
        <v>63</v>
      </c>
      <c r="D81">
        <v>-0.85000000000000098</v>
      </c>
      <c r="E81">
        <v>-1.3312451057165201E-2</v>
      </c>
      <c r="F81">
        <v>7</v>
      </c>
      <c r="G81" t="s">
        <v>84</v>
      </c>
      <c r="H81" s="1">
        <v>45999</v>
      </c>
      <c r="I81" t="s">
        <v>22</v>
      </c>
      <c r="J81">
        <v>78686347</v>
      </c>
      <c r="K81">
        <v>922784675.39682496</v>
      </c>
      <c r="L81">
        <v>0.22857142857142801</v>
      </c>
      <c r="M81">
        <v>51913628.668160498</v>
      </c>
      <c r="N81">
        <v>303158039.52543002</v>
      </c>
      <c r="O81">
        <v>0.23265306122448901</v>
      </c>
    </row>
    <row r="82" spans="1:15" x14ac:dyDescent="0.25">
      <c r="A82" t="s">
        <v>15</v>
      </c>
      <c r="B82">
        <v>50</v>
      </c>
      <c r="C82">
        <v>62.95</v>
      </c>
      <c r="D82">
        <v>-0.89999999999999802</v>
      </c>
      <c r="E82">
        <v>-1.4095536413468999E-2</v>
      </c>
      <c r="F82">
        <v>8</v>
      </c>
      <c r="G82" t="s">
        <v>85</v>
      </c>
      <c r="H82" s="1">
        <v>45966</v>
      </c>
      <c r="I82" t="s">
        <v>22</v>
      </c>
      <c r="J82">
        <v>229413552</v>
      </c>
      <c r="K82">
        <v>1152736795.3968201</v>
      </c>
      <c r="L82">
        <v>0.32448979591836702</v>
      </c>
      <c r="M82">
        <v>68205057.079111695</v>
      </c>
      <c r="N82">
        <v>387325441.93652201</v>
      </c>
      <c r="O82">
        <v>0.291836734693877</v>
      </c>
    </row>
    <row r="83" spans="1:15" x14ac:dyDescent="0.25">
      <c r="A83" t="s">
        <v>15</v>
      </c>
      <c r="B83">
        <v>50</v>
      </c>
      <c r="C83">
        <v>62.95</v>
      </c>
      <c r="D83">
        <v>-0.89999999999999802</v>
      </c>
      <c r="E83">
        <v>-1.4095536413468999E-2</v>
      </c>
      <c r="F83">
        <v>8</v>
      </c>
      <c r="G83" t="s">
        <v>85</v>
      </c>
      <c r="H83" s="1">
        <v>45973</v>
      </c>
      <c r="I83" t="s">
        <v>22</v>
      </c>
      <c r="J83">
        <v>62620173</v>
      </c>
      <c r="K83">
        <v>1152736795.3968201</v>
      </c>
      <c r="L83">
        <v>0.32448979591836702</v>
      </c>
      <c r="M83">
        <v>22139574.4836873</v>
      </c>
      <c r="N83">
        <v>387325441.93652201</v>
      </c>
      <c r="O83">
        <v>0.291836734693877</v>
      </c>
    </row>
    <row r="84" spans="1:15" x14ac:dyDescent="0.25">
      <c r="A84" t="s">
        <v>15</v>
      </c>
      <c r="B84">
        <v>50</v>
      </c>
      <c r="C84">
        <v>62.95</v>
      </c>
      <c r="D84">
        <v>-0.89999999999999802</v>
      </c>
      <c r="E84">
        <v>-1.4095536413468999E-2</v>
      </c>
      <c r="F84">
        <v>8</v>
      </c>
      <c r="G84" t="s">
        <v>86</v>
      </c>
      <c r="H84" s="1">
        <v>45974</v>
      </c>
      <c r="I84" t="s">
        <v>17</v>
      </c>
      <c r="J84">
        <v>80483242</v>
      </c>
      <c r="K84">
        <v>1152736795.3968201</v>
      </c>
      <c r="L84">
        <v>0.32448979591836702</v>
      </c>
      <c r="M84">
        <v>29458590.843882501</v>
      </c>
      <c r="N84">
        <v>387325441.93652201</v>
      </c>
      <c r="O84">
        <v>0.291836734693877</v>
      </c>
    </row>
    <row r="85" spans="1:15" x14ac:dyDescent="0.25">
      <c r="A85" t="s">
        <v>15</v>
      </c>
      <c r="B85">
        <v>50</v>
      </c>
      <c r="C85">
        <v>62.95</v>
      </c>
      <c r="D85">
        <v>-0.89999999999999802</v>
      </c>
      <c r="E85">
        <v>-1.4095536413468999E-2</v>
      </c>
      <c r="F85">
        <v>8</v>
      </c>
      <c r="G85" t="s">
        <v>87</v>
      </c>
      <c r="H85" s="1">
        <v>45999</v>
      </c>
      <c r="I85" t="s">
        <v>29</v>
      </c>
      <c r="J85">
        <v>78686347</v>
      </c>
      <c r="K85">
        <v>1152736795.3968201</v>
      </c>
      <c r="L85">
        <v>0.32448979591836702</v>
      </c>
      <c r="M85">
        <v>51913628.668160498</v>
      </c>
      <c r="N85">
        <v>387325441.93652201</v>
      </c>
      <c r="O85">
        <v>0.291836734693877</v>
      </c>
    </row>
    <row r="86" spans="1:15" x14ac:dyDescent="0.25">
      <c r="A86" t="s">
        <v>15</v>
      </c>
      <c r="B86">
        <v>50</v>
      </c>
      <c r="C86">
        <v>62.91</v>
      </c>
      <c r="D86">
        <v>-0.93999999999999695</v>
      </c>
      <c r="E86">
        <v>-1.4722004698512099E-2</v>
      </c>
      <c r="F86">
        <v>7</v>
      </c>
      <c r="G86" t="s">
        <v>88</v>
      </c>
      <c r="H86" s="1">
        <v>46015</v>
      </c>
      <c r="I86" t="s">
        <v>89</v>
      </c>
      <c r="J86">
        <v>64106420</v>
      </c>
      <c r="K86">
        <v>1047821666.06349</v>
      </c>
      <c r="L86">
        <v>0.30204081632653001</v>
      </c>
      <c r="M86">
        <v>64106420</v>
      </c>
      <c r="N86">
        <v>318107270.37897497</v>
      </c>
      <c r="O86">
        <v>0.26938775510203999</v>
      </c>
    </row>
    <row r="87" spans="1:15" x14ac:dyDescent="0.25">
      <c r="A87" t="s">
        <v>15</v>
      </c>
      <c r="B87">
        <v>50</v>
      </c>
      <c r="C87">
        <v>62.9</v>
      </c>
      <c r="D87">
        <v>-0.95000000000000195</v>
      </c>
      <c r="E87">
        <v>-1.48786217697729E-2</v>
      </c>
      <c r="F87">
        <v>7</v>
      </c>
      <c r="G87" t="s">
        <v>90</v>
      </c>
      <c r="H87" s="1">
        <v>45972</v>
      </c>
      <c r="I87" t="s">
        <v>20</v>
      </c>
      <c r="J87">
        <v>79723934</v>
      </c>
      <c r="K87">
        <v>1047821666.06349</v>
      </c>
      <c r="L87">
        <v>0.30204081632653001</v>
      </c>
      <c r="M87">
        <v>27226525.817707598</v>
      </c>
      <c r="N87">
        <v>318107270.37897497</v>
      </c>
      <c r="O87">
        <v>0.26938775510203999</v>
      </c>
    </row>
    <row r="88" spans="1:15" x14ac:dyDescent="0.25">
      <c r="A88" t="s">
        <v>15</v>
      </c>
      <c r="B88">
        <v>50</v>
      </c>
      <c r="C88">
        <v>62.9</v>
      </c>
      <c r="D88">
        <v>-0.95000000000000195</v>
      </c>
      <c r="E88">
        <v>-1.48786217697729E-2</v>
      </c>
      <c r="F88">
        <v>7</v>
      </c>
      <c r="G88" t="s">
        <v>90</v>
      </c>
      <c r="H88" s="1">
        <v>45974</v>
      </c>
      <c r="I88" t="s">
        <v>20</v>
      </c>
      <c r="J88">
        <v>80483242</v>
      </c>
      <c r="K88">
        <v>1047821666.06349</v>
      </c>
      <c r="L88">
        <v>0.30204081632653001</v>
      </c>
      <c r="M88">
        <v>29458590.843882501</v>
      </c>
      <c r="N88">
        <v>318107270.37897497</v>
      </c>
      <c r="O88">
        <v>0.26938775510203999</v>
      </c>
    </row>
    <row r="89" spans="1:15" x14ac:dyDescent="0.25">
      <c r="A89" t="s">
        <v>15</v>
      </c>
      <c r="B89">
        <v>50</v>
      </c>
      <c r="C89">
        <v>62.85</v>
      </c>
      <c r="D89">
        <v>-1</v>
      </c>
      <c r="E89">
        <v>-1.5661707126076702E-2</v>
      </c>
      <c r="F89">
        <v>9</v>
      </c>
      <c r="G89" t="s">
        <v>91</v>
      </c>
      <c r="H89" s="1">
        <v>45952</v>
      </c>
      <c r="I89" t="s">
        <v>17</v>
      </c>
      <c r="J89">
        <v>124303290</v>
      </c>
      <c r="K89">
        <v>1510414724.9523699</v>
      </c>
      <c r="L89">
        <v>0.56734693877551001</v>
      </c>
      <c r="M89">
        <v>27053074.782265302</v>
      </c>
      <c r="N89">
        <v>563594911.73397303</v>
      </c>
      <c r="O89">
        <v>0.44081632653061198</v>
      </c>
    </row>
    <row r="90" spans="1:15" x14ac:dyDescent="0.25">
      <c r="A90" t="s">
        <v>15</v>
      </c>
      <c r="B90">
        <v>50</v>
      </c>
      <c r="C90">
        <v>62.85</v>
      </c>
      <c r="D90">
        <v>-1</v>
      </c>
      <c r="E90">
        <v>-1.5661707126076702E-2</v>
      </c>
      <c r="F90">
        <v>9</v>
      </c>
      <c r="G90" t="s">
        <v>92</v>
      </c>
      <c r="H90" s="1">
        <v>45972</v>
      </c>
      <c r="I90" t="s">
        <v>29</v>
      </c>
      <c r="J90">
        <v>79723934</v>
      </c>
      <c r="K90">
        <v>1510414724.9523699</v>
      </c>
      <c r="L90">
        <v>0.56734693877551001</v>
      </c>
      <c r="M90">
        <v>27226525.817707598</v>
      </c>
      <c r="N90">
        <v>563594911.73397303</v>
      </c>
      <c r="O90">
        <v>0.44081632653061198</v>
      </c>
    </row>
    <row r="91" spans="1:15" x14ac:dyDescent="0.25">
      <c r="A91" t="s">
        <v>15</v>
      </c>
      <c r="B91">
        <v>50</v>
      </c>
      <c r="C91">
        <v>62.85</v>
      </c>
      <c r="D91">
        <v>-1</v>
      </c>
      <c r="E91">
        <v>-1.5661707126076702E-2</v>
      </c>
      <c r="F91">
        <v>9</v>
      </c>
      <c r="G91" t="s">
        <v>91</v>
      </c>
      <c r="H91" s="1">
        <v>46006</v>
      </c>
      <c r="I91" t="s">
        <v>17</v>
      </c>
      <c r="J91">
        <v>114939409</v>
      </c>
      <c r="K91">
        <v>1510414724.9523699</v>
      </c>
      <c r="L91">
        <v>0.56734693877551001</v>
      </c>
      <c r="M91">
        <v>90179632.523050606</v>
      </c>
      <c r="N91">
        <v>563594911.73397303</v>
      </c>
      <c r="O91">
        <v>0.44081632653061198</v>
      </c>
    </row>
    <row r="92" spans="1:15" x14ac:dyDescent="0.25">
      <c r="A92" t="s">
        <v>15</v>
      </c>
      <c r="B92">
        <v>50</v>
      </c>
      <c r="C92">
        <v>62.8</v>
      </c>
      <c r="D92">
        <v>-1.05</v>
      </c>
      <c r="E92">
        <v>-1.64447924823806E-2</v>
      </c>
      <c r="F92">
        <v>8</v>
      </c>
      <c r="G92" t="s">
        <v>93</v>
      </c>
      <c r="H92" s="1">
        <v>45971</v>
      </c>
      <c r="I92" t="s">
        <v>22</v>
      </c>
      <c r="J92">
        <v>83130868</v>
      </c>
      <c r="K92">
        <v>1416621861.42296</v>
      </c>
      <c r="L92">
        <v>0.47959183673469302</v>
      </c>
      <c r="M92">
        <v>27422959.4888543</v>
      </c>
      <c r="N92">
        <v>531563704.88961101</v>
      </c>
      <c r="O92">
        <v>0.38979591836734601</v>
      </c>
    </row>
    <row r="93" spans="1:15" x14ac:dyDescent="0.25">
      <c r="A93" t="s">
        <v>15</v>
      </c>
      <c r="B93">
        <v>50</v>
      </c>
      <c r="C93">
        <v>62.8</v>
      </c>
      <c r="D93">
        <v>-1.05</v>
      </c>
      <c r="E93">
        <v>-1.64447924823806E-2</v>
      </c>
      <c r="F93">
        <v>8</v>
      </c>
      <c r="G93" t="s">
        <v>93</v>
      </c>
      <c r="H93" s="1">
        <v>45974</v>
      </c>
      <c r="I93" t="s">
        <v>22</v>
      </c>
      <c r="J93">
        <v>80483242</v>
      </c>
      <c r="K93">
        <v>1416621861.42296</v>
      </c>
      <c r="L93">
        <v>0.47959183673469302</v>
      </c>
      <c r="M93">
        <v>29458590.843882501</v>
      </c>
      <c r="N93">
        <v>531563704.88961101</v>
      </c>
      <c r="O93">
        <v>0.38979591836734601</v>
      </c>
    </row>
    <row r="94" spans="1:15" x14ac:dyDescent="0.25">
      <c r="A94" t="s">
        <v>15</v>
      </c>
      <c r="B94">
        <v>50</v>
      </c>
      <c r="C94">
        <v>62.8</v>
      </c>
      <c r="D94">
        <v>-1.05</v>
      </c>
      <c r="E94">
        <v>-1.64447924823806E-2</v>
      </c>
      <c r="F94">
        <v>8</v>
      </c>
      <c r="G94" t="s">
        <v>94</v>
      </c>
      <c r="H94" s="1">
        <v>46006</v>
      </c>
      <c r="I94" t="s">
        <v>20</v>
      </c>
      <c r="J94">
        <v>114939409</v>
      </c>
      <c r="K94">
        <v>1416621861.42296</v>
      </c>
      <c r="L94">
        <v>0.47959183673469302</v>
      </c>
      <c r="M94">
        <v>90179632.523050606</v>
      </c>
      <c r="N94">
        <v>531563704.88961101</v>
      </c>
      <c r="O94">
        <v>0.38979591836734601</v>
      </c>
    </row>
    <row r="95" spans="1:15" x14ac:dyDescent="0.25">
      <c r="A95" t="s">
        <v>15</v>
      </c>
      <c r="B95">
        <v>50</v>
      </c>
      <c r="C95">
        <v>62.7575</v>
      </c>
      <c r="D95">
        <v>-1.09249999999999</v>
      </c>
      <c r="E95">
        <v>-1.7110415035238701E-2</v>
      </c>
      <c r="F95">
        <v>8</v>
      </c>
      <c r="G95" t="s">
        <v>95</v>
      </c>
      <c r="H95" s="1">
        <v>46015</v>
      </c>
      <c r="I95" t="s">
        <v>96</v>
      </c>
      <c r="J95">
        <v>64106420</v>
      </c>
      <c r="K95">
        <v>1416621861.42296</v>
      </c>
      <c r="L95">
        <v>0.47959183673469302</v>
      </c>
      <c r="M95">
        <v>64106420</v>
      </c>
      <c r="N95">
        <v>531563704.88961101</v>
      </c>
      <c r="O95">
        <v>0.38979591836734601</v>
      </c>
    </row>
    <row r="96" spans="1:15" x14ac:dyDescent="0.25">
      <c r="A96" t="s">
        <v>15</v>
      </c>
      <c r="B96">
        <v>50</v>
      </c>
      <c r="C96">
        <v>62.75</v>
      </c>
      <c r="D96">
        <v>-1.1000000000000001</v>
      </c>
      <c r="E96">
        <v>-1.7227877838684399E-2</v>
      </c>
      <c r="F96">
        <v>11</v>
      </c>
      <c r="G96" t="s">
        <v>97</v>
      </c>
      <c r="H96" s="1">
        <v>45968</v>
      </c>
      <c r="I96" t="s">
        <v>17</v>
      </c>
      <c r="J96">
        <v>111187957</v>
      </c>
      <c r="K96">
        <v>2055062998.56582</v>
      </c>
      <c r="L96">
        <v>0.81224489795918298</v>
      </c>
      <c r="M96">
        <v>35428948.056066699</v>
      </c>
      <c r="N96">
        <v>890676188.479568</v>
      </c>
      <c r="O96">
        <v>0.69795918367346899</v>
      </c>
    </row>
    <row r="97" spans="1:15" x14ac:dyDescent="0.25">
      <c r="A97" t="s">
        <v>15</v>
      </c>
      <c r="B97">
        <v>50</v>
      </c>
      <c r="C97">
        <v>62.75</v>
      </c>
      <c r="D97">
        <v>-1.1000000000000001</v>
      </c>
      <c r="E97">
        <v>-1.7227877838684399E-2</v>
      </c>
      <c r="F97">
        <v>11</v>
      </c>
      <c r="G97" t="s">
        <v>98</v>
      </c>
      <c r="H97" s="1">
        <v>45973</v>
      </c>
      <c r="I97" t="s">
        <v>29</v>
      </c>
      <c r="J97">
        <v>62620173</v>
      </c>
      <c r="K97">
        <v>2055062998.56582</v>
      </c>
      <c r="L97">
        <v>0.81224489795918298</v>
      </c>
      <c r="M97">
        <v>22139574.4836873</v>
      </c>
      <c r="N97">
        <v>890676188.479568</v>
      </c>
      <c r="O97">
        <v>0.69795918367346899</v>
      </c>
    </row>
    <row r="98" spans="1:15" x14ac:dyDescent="0.25">
      <c r="A98" t="s">
        <v>15</v>
      </c>
      <c r="B98">
        <v>50</v>
      </c>
      <c r="C98">
        <v>62.75</v>
      </c>
      <c r="D98">
        <v>-1.1000000000000001</v>
      </c>
      <c r="E98">
        <v>-1.7227877838684399E-2</v>
      </c>
      <c r="F98">
        <v>11</v>
      </c>
      <c r="G98" t="s">
        <v>99</v>
      </c>
      <c r="H98" s="1">
        <v>45996</v>
      </c>
      <c r="I98" t="s">
        <v>20</v>
      </c>
      <c r="J98">
        <v>47277037</v>
      </c>
      <c r="K98">
        <v>2055062998.56582</v>
      </c>
      <c r="L98">
        <v>0.81224489795918298</v>
      </c>
      <c r="M98">
        <v>30128724.9682579</v>
      </c>
      <c r="N98">
        <v>890676188.479568</v>
      </c>
      <c r="O98">
        <v>0.69795918367346899</v>
      </c>
    </row>
    <row r="99" spans="1:15" x14ac:dyDescent="0.25">
      <c r="A99" t="s">
        <v>15</v>
      </c>
      <c r="B99">
        <v>50</v>
      </c>
      <c r="C99">
        <v>62.75</v>
      </c>
      <c r="D99">
        <v>-1.1000000000000001</v>
      </c>
      <c r="E99">
        <v>-1.7227877838684399E-2</v>
      </c>
      <c r="F99">
        <v>11</v>
      </c>
      <c r="G99" t="s">
        <v>97</v>
      </c>
      <c r="H99" s="1">
        <v>45996</v>
      </c>
      <c r="I99" t="s">
        <v>17</v>
      </c>
      <c r="J99">
        <v>47277037</v>
      </c>
      <c r="K99">
        <v>2055062998.56582</v>
      </c>
      <c r="L99">
        <v>0.81224489795918298</v>
      </c>
      <c r="M99">
        <v>30128724.9682579</v>
      </c>
      <c r="N99">
        <v>890676188.479568</v>
      </c>
      <c r="O99">
        <v>0.69795918367346899</v>
      </c>
    </row>
    <row r="100" spans="1:15" x14ac:dyDescent="0.25">
      <c r="A100" t="s">
        <v>15</v>
      </c>
      <c r="B100">
        <v>50</v>
      </c>
      <c r="C100">
        <v>62.75</v>
      </c>
      <c r="D100">
        <v>-1.1000000000000001</v>
      </c>
      <c r="E100">
        <v>-1.7227877838684399E-2</v>
      </c>
      <c r="F100">
        <v>11</v>
      </c>
      <c r="G100" t="s">
        <v>97</v>
      </c>
      <c r="H100" s="1">
        <v>46010</v>
      </c>
      <c r="I100" t="s">
        <v>17</v>
      </c>
      <c r="J100">
        <v>81027467</v>
      </c>
      <c r="K100">
        <v>2055062998.56582</v>
      </c>
      <c r="L100">
        <v>0.81224489795918298</v>
      </c>
      <c r="M100">
        <v>73026042.117933705</v>
      </c>
      <c r="N100">
        <v>890676188.479568</v>
      </c>
      <c r="O100">
        <v>0.69795918367346899</v>
      </c>
    </row>
    <row r="101" spans="1:15" x14ac:dyDescent="0.25">
      <c r="A101" t="s">
        <v>15</v>
      </c>
      <c r="B101">
        <v>50</v>
      </c>
      <c r="C101">
        <v>62.7</v>
      </c>
      <c r="D101">
        <v>-1.1499999999999899</v>
      </c>
      <c r="E101">
        <v>-1.8010963194988201E-2</v>
      </c>
      <c r="F101">
        <v>10</v>
      </c>
      <c r="G101" t="s">
        <v>100</v>
      </c>
      <c r="H101" s="1">
        <v>45952</v>
      </c>
      <c r="I101" t="s">
        <v>20</v>
      </c>
      <c r="J101">
        <v>124303290</v>
      </c>
      <c r="K101">
        <v>1941208138.56582</v>
      </c>
      <c r="L101">
        <v>0.74693877551020404</v>
      </c>
      <c r="M101">
        <v>27053074.782265302</v>
      </c>
      <c r="N101">
        <v>850422416.69104505</v>
      </c>
      <c r="O101">
        <v>0.67755102040816295</v>
      </c>
    </row>
    <row r="102" spans="1:15" x14ac:dyDescent="0.25">
      <c r="A102" t="s">
        <v>15</v>
      </c>
      <c r="B102">
        <v>50</v>
      </c>
      <c r="C102">
        <v>62.65</v>
      </c>
      <c r="D102">
        <v>-1.2</v>
      </c>
      <c r="E102">
        <v>-1.8794048551292099E-2</v>
      </c>
      <c r="F102">
        <v>10</v>
      </c>
      <c r="G102" t="s">
        <v>101</v>
      </c>
      <c r="H102" s="1">
        <v>45968</v>
      </c>
      <c r="I102" t="s">
        <v>22</v>
      </c>
      <c r="J102">
        <v>111187957</v>
      </c>
      <c r="K102">
        <v>1941208138.56582</v>
      </c>
      <c r="L102">
        <v>0.74693877551020404</v>
      </c>
      <c r="M102">
        <v>35428948.056066699</v>
      </c>
      <c r="N102">
        <v>850422416.69104505</v>
      </c>
      <c r="O102">
        <v>0.67755102040816295</v>
      </c>
    </row>
    <row r="103" spans="1:15" x14ac:dyDescent="0.25">
      <c r="A103" t="s">
        <v>15</v>
      </c>
      <c r="B103">
        <v>50</v>
      </c>
      <c r="C103">
        <v>62.6</v>
      </c>
      <c r="D103">
        <v>-1.25</v>
      </c>
      <c r="E103">
        <v>-1.9577133907595901E-2</v>
      </c>
      <c r="F103">
        <v>10</v>
      </c>
      <c r="G103" t="s">
        <v>101</v>
      </c>
      <c r="H103" s="1">
        <v>45952</v>
      </c>
      <c r="I103" t="s">
        <v>22</v>
      </c>
      <c r="J103">
        <v>124303290</v>
      </c>
      <c r="K103">
        <v>1941208138.56582</v>
      </c>
      <c r="L103">
        <v>0.74693877551020404</v>
      </c>
      <c r="M103">
        <v>27053074.782265302</v>
      </c>
      <c r="N103">
        <v>850422416.69104505</v>
      </c>
      <c r="O103">
        <v>0.67755102040816295</v>
      </c>
    </row>
    <row r="104" spans="1:15" x14ac:dyDescent="0.25">
      <c r="A104" t="s">
        <v>15</v>
      </c>
      <c r="B104">
        <v>50</v>
      </c>
      <c r="C104">
        <v>62.6</v>
      </c>
      <c r="D104">
        <v>-1.25</v>
      </c>
      <c r="E104">
        <v>-1.9577133907595901E-2</v>
      </c>
      <c r="F104">
        <v>10</v>
      </c>
      <c r="G104" t="s">
        <v>102</v>
      </c>
      <c r="H104" s="1">
        <v>45971</v>
      </c>
      <c r="I104" t="s">
        <v>29</v>
      </c>
      <c r="J104">
        <v>83130868</v>
      </c>
      <c r="K104">
        <v>1941208138.56582</v>
      </c>
      <c r="L104">
        <v>0.74693877551020404</v>
      </c>
      <c r="M104">
        <v>27422959.4888543</v>
      </c>
      <c r="N104">
        <v>850422416.69104505</v>
      </c>
      <c r="O104">
        <v>0.67755102040816295</v>
      </c>
    </row>
    <row r="105" spans="1:15" x14ac:dyDescent="0.25">
      <c r="A105" t="s">
        <v>15</v>
      </c>
      <c r="B105">
        <v>50</v>
      </c>
      <c r="C105">
        <v>62.6</v>
      </c>
      <c r="D105">
        <v>-1.25</v>
      </c>
      <c r="E105">
        <v>-1.9577133907595901E-2</v>
      </c>
      <c r="F105">
        <v>10</v>
      </c>
      <c r="G105" t="s">
        <v>102</v>
      </c>
      <c r="H105" s="1">
        <v>45974</v>
      </c>
      <c r="I105" t="s">
        <v>29</v>
      </c>
      <c r="J105">
        <v>80483242</v>
      </c>
      <c r="K105">
        <v>1941208138.56582</v>
      </c>
      <c r="L105">
        <v>0.74693877551020404</v>
      </c>
      <c r="M105">
        <v>29458590.843882501</v>
      </c>
      <c r="N105">
        <v>850422416.69104505</v>
      </c>
      <c r="O105">
        <v>0.67755102040816295</v>
      </c>
    </row>
    <row r="106" spans="1:15" x14ac:dyDescent="0.25">
      <c r="A106" t="s">
        <v>15</v>
      </c>
      <c r="B106">
        <v>50</v>
      </c>
      <c r="C106">
        <v>62.55</v>
      </c>
      <c r="D106">
        <v>-1.3</v>
      </c>
      <c r="E106">
        <v>-2.03602192638998E-2</v>
      </c>
      <c r="F106">
        <v>8</v>
      </c>
      <c r="G106" t="s">
        <v>103</v>
      </c>
      <c r="H106" s="1">
        <v>45968</v>
      </c>
      <c r="I106" t="s">
        <v>20</v>
      </c>
      <c r="J106">
        <v>111187957</v>
      </c>
      <c r="K106">
        <v>1600414861.2324901</v>
      </c>
      <c r="L106">
        <v>0.64897959183673404</v>
      </c>
      <c r="M106">
        <v>35428948.056066699</v>
      </c>
      <c r="N106">
        <v>729691068.29481304</v>
      </c>
      <c r="O106">
        <v>0.58775510204081605</v>
      </c>
    </row>
    <row r="107" spans="1:15" x14ac:dyDescent="0.25">
      <c r="A107" t="s">
        <v>15</v>
      </c>
      <c r="B107">
        <v>50</v>
      </c>
      <c r="C107">
        <v>62.5</v>
      </c>
      <c r="D107">
        <v>-1.35</v>
      </c>
      <c r="E107">
        <v>-2.1143304620203598E-2</v>
      </c>
      <c r="F107">
        <v>10</v>
      </c>
      <c r="G107" t="s">
        <v>104</v>
      </c>
      <c r="H107" s="1">
        <v>45994</v>
      </c>
      <c r="I107" t="s">
        <v>17</v>
      </c>
      <c r="J107">
        <v>46546830</v>
      </c>
      <c r="K107">
        <v>1798092580.2324901</v>
      </c>
      <c r="L107">
        <v>0.70408163265306101</v>
      </c>
      <c r="M107">
        <v>27676910.708411001</v>
      </c>
      <c r="N107">
        <v>848935917.61888003</v>
      </c>
      <c r="O107">
        <v>0.659183673469387</v>
      </c>
    </row>
    <row r="108" spans="1:15" x14ac:dyDescent="0.25">
      <c r="A108" t="s">
        <v>15</v>
      </c>
      <c r="B108">
        <v>50</v>
      </c>
      <c r="C108">
        <v>62.5</v>
      </c>
      <c r="D108">
        <v>-1.35</v>
      </c>
      <c r="E108">
        <v>-2.1143304620203598E-2</v>
      </c>
      <c r="F108">
        <v>10</v>
      </c>
      <c r="G108" t="s">
        <v>104</v>
      </c>
      <c r="H108" s="1">
        <v>45995</v>
      </c>
      <c r="I108" t="s">
        <v>17</v>
      </c>
      <c r="J108">
        <v>40655322</v>
      </c>
      <c r="K108">
        <v>1798092580.2324901</v>
      </c>
      <c r="L108">
        <v>0.70408163265306101</v>
      </c>
      <c r="M108">
        <v>25026286.276519299</v>
      </c>
      <c r="N108">
        <v>848935917.61888003</v>
      </c>
      <c r="O108">
        <v>0.659183673469387</v>
      </c>
    </row>
    <row r="109" spans="1:15" x14ac:dyDescent="0.25">
      <c r="A109" t="s">
        <v>15</v>
      </c>
      <c r="B109">
        <v>50</v>
      </c>
      <c r="C109">
        <v>62.5</v>
      </c>
      <c r="D109">
        <v>-1.35</v>
      </c>
      <c r="E109">
        <v>-2.1143304620203598E-2</v>
      </c>
      <c r="F109">
        <v>10</v>
      </c>
      <c r="G109" t="s">
        <v>105</v>
      </c>
      <c r="H109" s="1">
        <v>46006</v>
      </c>
      <c r="I109" t="s">
        <v>22</v>
      </c>
      <c r="J109">
        <v>114939409</v>
      </c>
      <c r="K109">
        <v>1798092580.2324901</v>
      </c>
      <c r="L109">
        <v>0.70408163265306101</v>
      </c>
      <c r="M109">
        <v>90179632.523050606</v>
      </c>
      <c r="N109">
        <v>848935917.61888003</v>
      </c>
      <c r="O109">
        <v>0.659183673469387</v>
      </c>
    </row>
    <row r="110" spans="1:15" x14ac:dyDescent="0.25">
      <c r="A110" t="s">
        <v>15</v>
      </c>
      <c r="B110">
        <v>50</v>
      </c>
      <c r="C110">
        <v>62.5</v>
      </c>
      <c r="D110">
        <v>-1.35</v>
      </c>
      <c r="E110">
        <v>-2.1143304620203598E-2</v>
      </c>
      <c r="F110">
        <v>10</v>
      </c>
      <c r="G110" t="s">
        <v>106</v>
      </c>
      <c r="H110" s="1">
        <v>46010</v>
      </c>
      <c r="I110" t="s">
        <v>20</v>
      </c>
      <c r="J110">
        <v>81027467</v>
      </c>
      <c r="K110">
        <v>1798092580.2324901</v>
      </c>
      <c r="L110">
        <v>0.70408163265306101</v>
      </c>
      <c r="M110">
        <v>73026042.117933705</v>
      </c>
      <c r="N110">
        <v>848935917.61888003</v>
      </c>
      <c r="O110">
        <v>0.659183673469387</v>
      </c>
    </row>
    <row r="111" spans="1:15" x14ac:dyDescent="0.25">
      <c r="A111" t="s">
        <v>15</v>
      </c>
      <c r="B111">
        <v>50</v>
      </c>
      <c r="C111">
        <v>62.45</v>
      </c>
      <c r="D111">
        <v>-1.3999999999999899</v>
      </c>
      <c r="E111">
        <v>-2.19263899765074E-2</v>
      </c>
      <c r="F111">
        <v>11</v>
      </c>
      <c r="G111" t="s">
        <v>107</v>
      </c>
      <c r="H111" s="1">
        <v>45996</v>
      </c>
      <c r="I111" t="s">
        <v>22</v>
      </c>
      <c r="J111">
        <v>47277037</v>
      </c>
      <c r="K111">
        <v>1962267546.8991499</v>
      </c>
      <c r="L111">
        <v>0.76122448979591795</v>
      </c>
      <c r="M111">
        <v>30128724.9682579</v>
      </c>
      <c r="N111">
        <v>986990058.56327701</v>
      </c>
      <c r="O111">
        <v>0.83061224489795904</v>
      </c>
    </row>
    <row r="112" spans="1:15" x14ac:dyDescent="0.25">
      <c r="A112" t="s">
        <v>15</v>
      </c>
      <c r="B112">
        <v>50</v>
      </c>
      <c r="C112">
        <v>62.45</v>
      </c>
      <c r="D112">
        <v>-1.3999999999999899</v>
      </c>
      <c r="E112">
        <v>-2.19263899765074E-2</v>
      </c>
      <c r="F112">
        <v>11</v>
      </c>
      <c r="G112" t="s">
        <v>108</v>
      </c>
      <c r="H112" s="1">
        <v>46008</v>
      </c>
      <c r="I112" t="s">
        <v>17</v>
      </c>
      <c r="J112">
        <v>98504980</v>
      </c>
      <c r="K112">
        <v>1962267546.8991499</v>
      </c>
      <c r="L112">
        <v>0.76122448979591795</v>
      </c>
      <c r="M112">
        <v>82832484.566638798</v>
      </c>
      <c r="N112">
        <v>986990058.56327701</v>
      </c>
      <c r="O112">
        <v>0.83061224489795904</v>
      </c>
    </row>
    <row r="113" spans="1:15" x14ac:dyDescent="0.25">
      <c r="A113" t="s">
        <v>15</v>
      </c>
      <c r="B113">
        <v>50</v>
      </c>
      <c r="C113">
        <v>62.4</v>
      </c>
      <c r="D113">
        <v>-1.45</v>
      </c>
      <c r="E113">
        <v>-2.2709475332811299E-2</v>
      </c>
      <c r="F113">
        <v>13</v>
      </c>
      <c r="G113" t="s">
        <v>109</v>
      </c>
      <c r="H113" s="1">
        <v>45953</v>
      </c>
      <c r="I113" t="s">
        <v>17</v>
      </c>
      <c r="J113">
        <v>166688171</v>
      </c>
      <c r="K113">
        <v>2343049937.8082399</v>
      </c>
      <c r="L113">
        <v>0.86938775510204003</v>
      </c>
      <c r="M113">
        <v>37556947.806375697</v>
      </c>
      <c r="N113">
        <v>1111401625.82605</v>
      </c>
      <c r="O113">
        <v>0.89795918367346905</v>
      </c>
    </row>
    <row r="114" spans="1:15" x14ac:dyDescent="0.25">
      <c r="A114" t="s">
        <v>15</v>
      </c>
      <c r="B114">
        <v>50</v>
      </c>
      <c r="C114">
        <v>62.4</v>
      </c>
      <c r="D114">
        <v>-1.45</v>
      </c>
      <c r="E114">
        <v>-2.2709475332811299E-2</v>
      </c>
      <c r="F114">
        <v>13</v>
      </c>
      <c r="G114" t="s">
        <v>110</v>
      </c>
      <c r="H114" s="1">
        <v>45968</v>
      </c>
      <c r="I114" t="s">
        <v>29</v>
      </c>
      <c r="J114">
        <v>111187957</v>
      </c>
      <c r="K114">
        <v>2343049937.8082399</v>
      </c>
      <c r="L114">
        <v>0.86938775510204003</v>
      </c>
      <c r="M114">
        <v>35428948.056066699</v>
      </c>
      <c r="N114">
        <v>1111401625.82605</v>
      </c>
      <c r="O114">
        <v>0.89795918367346905</v>
      </c>
    </row>
    <row r="115" spans="1:15" x14ac:dyDescent="0.25">
      <c r="A115" t="s">
        <v>15</v>
      </c>
      <c r="B115">
        <v>50</v>
      </c>
      <c r="C115">
        <v>62.4</v>
      </c>
      <c r="D115">
        <v>-1.45</v>
      </c>
      <c r="E115">
        <v>-2.2709475332811299E-2</v>
      </c>
      <c r="F115">
        <v>13</v>
      </c>
      <c r="G115" t="s">
        <v>109</v>
      </c>
      <c r="H115" s="1">
        <v>45989</v>
      </c>
      <c r="I115" t="s">
        <v>17</v>
      </c>
      <c r="J115">
        <v>68386478</v>
      </c>
      <c r="K115">
        <v>2343049937.8082399</v>
      </c>
      <c r="L115">
        <v>0.86938775510204003</v>
      </c>
      <c r="M115">
        <v>36647406.158361003</v>
      </c>
      <c r="N115">
        <v>1111401625.82605</v>
      </c>
      <c r="O115">
        <v>0.89795918367346905</v>
      </c>
    </row>
    <row r="116" spans="1:15" x14ac:dyDescent="0.25">
      <c r="A116" t="s">
        <v>15</v>
      </c>
      <c r="B116">
        <v>50</v>
      </c>
      <c r="C116">
        <v>62.4</v>
      </c>
      <c r="D116">
        <v>-1.45</v>
      </c>
      <c r="E116">
        <v>-2.2709475332811299E-2</v>
      </c>
      <c r="F116">
        <v>13</v>
      </c>
      <c r="G116" t="s">
        <v>111</v>
      </c>
      <c r="H116" s="1">
        <v>45994</v>
      </c>
      <c r="I116" t="s">
        <v>22</v>
      </c>
      <c r="J116">
        <v>46546830</v>
      </c>
      <c r="K116">
        <v>2343049937.8082399</v>
      </c>
      <c r="L116">
        <v>0.86938775510204003</v>
      </c>
      <c r="M116">
        <v>27676910.708411001</v>
      </c>
      <c r="N116">
        <v>1111401625.82605</v>
      </c>
      <c r="O116">
        <v>0.89795918367346905</v>
      </c>
    </row>
    <row r="117" spans="1:15" x14ac:dyDescent="0.25">
      <c r="A117" t="s">
        <v>15</v>
      </c>
      <c r="B117">
        <v>50</v>
      </c>
      <c r="C117">
        <v>62.4</v>
      </c>
      <c r="D117">
        <v>-1.45</v>
      </c>
      <c r="E117">
        <v>-2.2709475332811299E-2</v>
      </c>
      <c r="F117">
        <v>13</v>
      </c>
      <c r="G117" t="s">
        <v>111</v>
      </c>
      <c r="H117" s="1">
        <v>45995</v>
      </c>
      <c r="I117" t="s">
        <v>22</v>
      </c>
      <c r="J117">
        <v>40655322</v>
      </c>
      <c r="K117">
        <v>2343049937.8082399</v>
      </c>
      <c r="L117">
        <v>0.86938775510204003</v>
      </c>
      <c r="M117">
        <v>25026286.276519299</v>
      </c>
      <c r="N117">
        <v>1111401625.82605</v>
      </c>
      <c r="O117">
        <v>0.89795918367346905</v>
      </c>
    </row>
    <row r="118" spans="1:15" x14ac:dyDescent="0.25">
      <c r="A118" t="s">
        <v>15</v>
      </c>
      <c r="B118">
        <v>50</v>
      </c>
      <c r="C118">
        <v>62.4</v>
      </c>
      <c r="D118">
        <v>-1.45</v>
      </c>
      <c r="E118">
        <v>-2.2709475332811299E-2</v>
      </c>
      <c r="F118">
        <v>13</v>
      </c>
      <c r="G118" t="s">
        <v>110</v>
      </c>
      <c r="H118" s="1">
        <v>46006</v>
      </c>
      <c r="I118" t="s">
        <v>29</v>
      </c>
      <c r="J118">
        <v>114939409</v>
      </c>
      <c r="K118">
        <v>2343049937.8082399</v>
      </c>
      <c r="L118">
        <v>0.86938775510204003</v>
      </c>
      <c r="M118">
        <v>90179632.523050606</v>
      </c>
      <c r="N118">
        <v>1111401625.82605</v>
      </c>
      <c r="O118">
        <v>0.89795918367346905</v>
      </c>
    </row>
    <row r="119" spans="1:15" x14ac:dyDescent="0.25">
      <c r="A119" t="s">
        <v>15</v>
      </c>
      <c r="B119">
        <v>50</v>
      </c>
      <c r="C119">
        <v>62.4</v>
      </c>
      <c r="D119">
        <v>-1.45</v>
      </c>
      <c r="E119">
        <v>-2.2709475332811299E-2</v>
      </c>
      <c r="F119">
        <v>13</v>
      </c>
      <c r="G119" t="s">
        <v>111</v>
      </c>
      <c r="H119" s="1">
        <v>46010</v>
      </c>
      <c r="I119" t="s">
        <v>22</v>
      </c>
      <c r="J119">
        <v>81027467</v>
      </c>
      <c r="K119">
        <v>2343049937.8082399</v>
      </c>
      <c r="L119">
        <v>0.86938775510204003</v>
      </c>
      <c r="M119">
        <v>73026042.117933705</v>
      </c>
      <c r="N119">
        <v>1111401625.82605</v>
      </c>
      <c r="O119">
        <v>0.89795918367346905</v>
      </c>
    </row>
    <row r="120" spans="1:15" x14ac:dyDescent="0.25">
      <c r="A120" t="s">
        <v>15</v>
      </c>
      <c r="B120">
        <v>50</v>
      </c>
      <c r="C120">
        <v>62.35</v>
      </c>
      <c r="D120">
        <v>-1.5</v>
      </c>
      <c r="E120">
        <v>-2.3492560689115101E-2</v>
      </c>
      <c r="F120">
        <v>11</v>
      </c>
      <c r="G120" t="s">
        <v>112</v>
      </c>
      <c r="H120" s="1">
        <v>45950</v>
      </c>
      <c r="I120" t="s">
        <v>22</v>
      </c>
      <c r="J120">
        <v>105854638</v>
      </c>
      <c r="K120">
        <v>1769949151.7765</v>
      </c>
      <c r="L120">
        <v>0.68571428571428505</v>
      </c>
      <c r="M120">
        <v>21495170.845230401</v>
      </c>
      <c r="N120">
        <v>809776876.56701899</v>
      </c>
      <c r="O120">
        <v>0.62448979591836695</v>
      </c>
    </row>
    <row r="121" spans="1:15" x14ac:dyDescent="0.25">
      <c r="A121" t="s">
        <v>15</v>
      </c>
      <c r="B121">
        <v>50</v>
      </c>
      <c r="C121">
        <v>62.35</v>
      </c>
      <c r="D121">
        <v>-1.5</v>
      </c>
      <c r="E121">
        <v>-2.3492560689115101E-2</v>
      </c>
      <c r="F121">
        <v>11</v>
      </c>
      <c r="G121" t="s">
        <v>113</v>
      </c>
      <c r="H121" s="1">
        <v>45953</v>
      </c>
      <c r="I121" t="s">
        <v>20</v>
      </c>
      <c r="J121">
        <v>166688171</v>
      </c>
      <c r="K121">
        <v>1769949151.7765</v>
      </c>
      <c r="L121">
        <v>0.68571428571428505</v>
      </c>
      <c r="M121">
        <v>37556947.806375697</v>
      </c>
      <c r="N121">
        <v>809776876.56701899</v>
      </c>
      <c r="O121">
        <v>0.62448979591836695</v>
      </c>
    </row>
    <row r="122" spans="1:15" x14ac:dyDescent="0.25">
      <c r="A122" t="s">
        <v>15</v>
      </c>
      <c r="B122">
        <v>50</v>
      </c>
      <c r="C122">
        <v>62.35</v>
      </c>
      <c r="D122">
        <v>-1.5</v>
      </c>
      <c r="E122">
        <v>-2.3492560689115101E-2</v>
      </c>
      <c r="F122">
        <v>11</v>
      </c>
      <c r="G122" t="s">
        <v>113</v>
      </c>
      <c r="H122" s="1">
        <v>45989</v>
      </c>
      <c r="I122" t="s">
        <v>20</v>
      </c>
      <c r="J122">
        <v>68386478</v>
      </c>
      <c r="K122">
        <v>1769949151.7765</v>
      </c>
      <c r="L122">
        <v>0.68571428571428505</v>
      </c>
      <c r="M122">
        <v>36647406.158361003</v>
      </c>
      <c r="N122">
        <v>809776876.56701899</v>
      </c>
      <c r="O122">
        <v>0.62448979591836695</v>
      </c>
    </row>
    <row r="123" spans="1:15" x14ac:dyDescent="0.25">
      <c r="A123" t="s">
        <v>15</v>
      </c>
      <c r="B123">
        <v>50</v>
      </c>
      <c r="C123">
        <v>62.35</v>
      </c>
      <c r="D123">
        <v>-1.5</v>
      </c>
      <c r="E123">
        <v>-2.3492560689115101E-2</v>
      </c>
      <c r="F123">
        <v>11</v>
      </c>
      <c r="G123" t="s">
        <v>114</v>
      </c>
      <c r="H123" s="1">
        <v>45996</v>
      </c>
      <c r="I123" t="s">
        <v>29</v>
      </c>
      <c r="J123">
        <v>47277037</v>
      </c>
      <c r="K123">
        <v>1769949151.7765</v>
      </c>
      <c r="L123">
        <v>0.68571428571428505</v>
      </c>
      <c r="M123">
        <v>30128724.9682579</v>
      </c>
      <c r="N123">
        <v>809776876.56701899</v>
      </c>
      <c r="O123">
        <v>0.62448979591836695</v>
      </c>
    </row>
    <row r="124" spans="1:15" x14ac:dyDescent="0.25">
      <c r="A124" t="s">
        <v>15</v>
      </c>
      <c r="B124">
        <v>50</v>
      </c>
      <c r="C124">
        <v>62.35</v>
      </c>
      <c r="D124">
        <v>-1.5</v>
      </c>
      <c r="E124">
        <v>-2.3492560689115101E-2</v>
      </c>
      <c r="F124">
        <v>11</v>
      </c>
      <c r="G124" t="s">
        <v>114</v>
      </c>
      <c r="H124" s="1">
        <v>46010</v>
      </c>
      <c r="I124" t="s">
        <v>29</v>
      </c>
      <c r="J124">
        <v>81027467</v>
      </c>
      <c r="K124">
        <v>1769949151.7765</v>
      </c>
      <c r="L124">
        <v>0.68571428571428505</v>
      </c>
      <c r="M124">
        <v>73026042.117933705</v>
      </c>
      <c r="N124">
        <v>809776876.56701899</v>
      </c>
      <c r="O124">
        <v>0.62448979591836695</v>
      </c>
    </row>
    <row r="125" spans="1:15" x14ac:dyDescent="0.25">
      <c r="A125" t="s">
        <v>15</v>
      </c>
      <c r="B125">
        <v>50</v>
      </c>
      <c r="C125">
        <v>62.3</v>
      </c>
      <c r="D125">
        <v>-1.55</v>
      </c>
      <c r="E125">
        <v>-2.4275646045419E-2</v>
      </c>
      <c r="F125">
        <v>10</v>
      </c>
      <c r="G125" t="s">
        <v>115</v>
      </c>
      <c r="H125" s="1">
        <v>45947</v>
      </c>
      <c r="I125" t="s">
        <v>17</v>
      </c>
      <c r="J125">
        <v>166191884</v>
      </c>
      <c r="K125">
        <v>1864667601.7765</v>
      </c>
      <c r="L125">
        <v>0.71836734693877502</v>
      </c>
      <c r="M125">
        <v>32597877.346475299</v>
      </c>
      <c r="N125">
        <v>633384652.21772695</v>
      </c>
      <c r="O125">
        <v>0.51836734693877495</v>
      </c>
    </row>
    <row r="126" spans="1:15" x14ac:dyDescent="0.25">
      <c r="A126" t="s">
        <v>15</v>
      </c>
      <c r="B126">
        <v>50</v>
      </c>
      <c r="C126">
        <v>62.3</v>
      </c>
      <c r="D126">
        <v>-1.55</v>
      </c>
      <c r="E126">
        <v>-2.4275646045419E-2</v>
      </c>
      <c r="F126">
        <v>10</v>
      </c>
      <c r="G126" t="s">
        <v>116</v>
      </c>
      <c r="H126" s="1">
        <v>45966</v>
      </c>
      <c r="I126" t="s">
        <v>29</v>
      </c>
      <c r="J126">
        <v>229413552</v>
      </c>
      <c r="K126">
        <v>1864667601.7765</v>
      </c>
      <c r="L126">
        <v>0.71836734693877502</v>
      </c>
      <c r="M126">
        <v>68205057.079111695</v>
      </c>
      <c r="N126">
        <v>633384652.21772695</v>
      </c>
      <c r="O126">
        <v>0.51836734693877495</v>
      </c>
    </row>
    <row r="127" spans="1:15" x14ac:dyDescent="0.25">
      <c r="A127" t="s">
        <v>15</v>
      </c>
      <c r="B127">
        <v>50</v>
      </c>
      <c r="C127">
        <v>62.3</v>
      </c>
      <c r="D127">
        <v>-1.55</v>
      </c>
      <c r="E127">
        <v>-2.4275646045419E-2</v>
      </c>
      <c r="F127">
        <v>10</v>
      </c>
      <c r="G127" t="s">
        <v>117</v>
      </c>
      <c r="H127" s="1">
        <v>45994</v>
      </c>
      <c r="I127" t="s">
        <v>20</v>
      </c>
      <c r="J127">
        <v>46546830</v>
      </c>
      <c r="K127">
        <v>1864667601.7765</v>
      </c>
      <c r="L127">
        <v>0.71836734693877502</v>
      </c>
      <c r="M127">
        <v>27676910.708411001</v>
      </c>
      <c r="N127">
        <v>633384652.21772695</v>
      </c>
      <c r="O127">
        <v>0.51836734693877495</v>
      </c>
    </row>
    <row r="128" spans="1:15" x14ac:dyDescent="0.25">
      <c r="A128" t="s">
        <v>15</v>
      </c>
      <c r="B128">
        <v>50</v>
      </c>
      <c r="C128">
        <v>62.25</v>
      </c>
      <c r="D128">
        <v>-1.6</v>
      </c>
      <c r="E128">
        <v>-2.5058731401722802E-2</v>
      </c>
      <c r="F128">
        <v>10</v>
      </c>
      <c r="G128" t="s">
        <v>118</v>
      </c>
      <c r="H128" s="1">
        <v>45952</v>
      </c>
      <c r="I128" t="s">
        <v>29</v>
      </c>
      <c r="J128">
        <v>124303290</v>
      </c>
      <c r="K128">
        <v>1902725138.03319</v>
      </c>
      <c r="L128">
        <v>0.73061224489795895</v>
      </c>
      <c r="M128">
        <v>27053074.782265302</v>
      </c>
      <c r="N128">
        <v>803281271.69985199</v>
      </c>
      <c r="O128">
        <v>0.60816326530612197</v>
      </c>
    </row>
    <row r="129" spans="1:15" x14ac:dyDescent="0.25">
      <c r="A129" t="s">
        <v>15</v>
      </c>
      <c r="B129">
        <v>50</v>
      </c>
      <c r="C129">
        <v>62.25</v>
      </c>
      <c r="D129">
        <v>-1.6</v>
      </c>
      <c r="E129">
        <v>-2.5058731401722802E-2</v>
      </c>
      <c r="F129">
        <v>10</v>
      </c>
      <c r="G129" t="s">
        <v>119</v>
      </c>
      <c r="H129" s="1">
        <v>46007</v>
      </c>
      <c r="I129" t="s">
        <v>20</v>
      </c>
      <c r="J129">
        <v>169375708</v>
      </c>
      <c r="K129">
        <v>1902725138.03319</v>
      </c>
      <c r="L129">
        <v>0.73061224489795895</v>
      </c>
      <c r="M129">
        <v>137575824.70753399</v>
      </c>
      <c r="N129">
        <v>803281271.69985199</v>
      </c>
      <c r="O129">
        <v>0.60816326530612197</v>
      </c>
    </row>
    <row r="130" spans="1:15" x14ac:dyDescent="0.25">
      <c r="A130" t="s">
        <v>15</v>
      </c>
      <c r="B130">
        <v>50</v>
      </c>
      <c r="C130">
        <v>62.25</v>
      </c>
      <c r="D130">
        <v>-1.6</v>
      </c>
      <c r="E130">
        <v>-2.5058731401722802E-2</v>
      </c>
      <c r="F130">
        <v>10</v>
      </c>
      <c r="G130" t="s">
        <v>120</v>
      </c>
      <c r="H130" s="1">
        <v>46007</v>
      </c>
      <c r="I130" t="s">
        <v>17</v>
      </c>
      <c r="J130">
        <v>169375708</v>
      </c>
      <c r="K130">
        <v>1902725138.03319</v>
      </c>
      <c r="L130">
        <v>0.73061224489795895</v>
      </c>
      <c r="M130">
        <v>137575824.70753399</v>
      </c>
      <c r="N130">
        <v>803281271.69985199</v>
      </c>
      <c r="O130">
        <v>0.60816326530612197</v>
      </c>
    </row>
    <row r="131" spans="1:15" x14ac:dyDescent="0.25">
      <c r="A131" t="s">
        <v>15</v>
      </c>
      <c r="B131">
        <v>50</v>
      </c>
      <c r="C131">
        <v>62.2</v>
      </c>
      <c r="D131">
        <v>-1.6499999999999899</v>
      </c>
      <c r="E131">
        <v>-2.58418167580266E-2</v>
      </c>
      <c r="F131">
        <v>11</v>
      </c>
      <c r="G131" t="s">
        <v>121</v>
      </c>
      <c r="H131" s="1">
        <v>45978</v>
      </c>
      <c r="I131" t="s">
        <v>17</v>
      </c>
      <c r="J131">
        <v>91925734</v>
      </c>
      <c r="K131">
        <v>2003826797.57864</v>
      </c>
      <c r="L131">
        <v>0.77346938775510199</v>
      </c>
      <c r="M131">
        <v>36061734.541943297</v>
      </c>
      <c r="N131">
        <v>893410284.75641406</v>
      </c>
      <c r="O131">
        <v>0.71632653061224405</v>
      </c>
    </row>
    <row r="132" spans="1:15" x14ac:dyDescent="0.25">
      <c r="A132" t="s">
        <v>15</v>
      </c>
      <c r="B132">
        <v>50</v>
      </c>
      <c r="C132">
        <v>62.2</v>
      </c>
      <c r="D132">
        <v>-1.6499999999999899</v>
      </c>
      <c r="E132">
        <v>-2.58418167580266E-2</v>
      </c>
      <c r="F132">
        <v>11</v>
      </c>
      <c r="G132" t="s">
        <v>121</v>
      </c>
      <c r="H132" s="1">
        <v>45993</v>
      </c>
      <c r="I132" t="s">
        <v>17</v>
      </c>
      <c r="J132">
        <v>43152711</v>
      </c>
      <c r="K132">
        <v>2003826797.57864</v>
      </c>
      <c r="L132">
        <v>0.77346938775510199</v>
      </c>
      <c r="M132">
        <v>24784724.069681201</v>
      </c>
      <c r="N132">
        <v>893410284.75641406</v>
      </c>
      <c r="O132">
        <v>0.71632653061224405</v>
      </c>
    </row>
    <row r="133" spans="1:15" x14ac:dyDescent="0.25">
      <c r="A133" t="s">
        <v>15</v>
      </c>
      <c r="B133">
        <v>50</v>
      </c>
      <c r="C133">
        <v>62.2</v>
      </c>
      <c r="D133">
        <v>-1.6499999999999899</v>
      </c>
      <c r="E133">
        <v>-2.58418167580266E-2</v>
      </c>
      <c r="F133">
        <v>11</v>
      </c>
      <c r="G133" t="s">
        <v>122</v>
      </c>
      <c r="H133" s="1">
        <v>45995</v>
      </c>
      <c r="I133" t="s">
        <v>20</v>
      </c>
      <c r="J133">
        <v>40655322</v>
      </c>
      <c r="K133">
        <v>2003826797.57864</v>
      </c>
      <c r="L133">
        <v>0.77346938775510199</v>
      </c>
      <c r="M133">
        <v>25026286.276519299</v>
      </c>
      <c r="N133">
        <v>893410284.75641406</v>
      </c>
      <c r="O133">
        <v>0.71632653061224405</v>
      </c>
    </row>
    <row r="134" spans="1:15" x14ac:dyDescent="0.25">
      <c r="A134" t="s">
        <v>15</v>
      </c>
      <c r="B134">
        <v>50</v>
      </c>
      <c r="C134">
        <v>62.152500000000003</v>
      </c>
      <c r="D134">
        <v>-1.69749999999999</v>
      </c>
      <c r="E134">
        <v>-2.6585747846515202E-2</v>
      </c>
      <c r="F134">
        <v>11</v>
      </c>
      <c r="G134" t="s">
        <v>123</v>
      </c>
      <c r="H134" s="1">
        <v>46015</v>
      </c>
      <c r="I134" t="s">
        <v>124</v>
      </c>
      <c r="J134">
        <v>64106420</v>
      </c>
      <c r="K134">
        <v>2003826797.57864</v>
      </c>
      <c r="L134">
        <v>0.77346938775510199</v>
      </c>
      <c r="M134">
        <v>64106420</v>
      </c>
      <c r="N134">
        <v>893410284.75641406</v>
      </c>
      <c r="O134">
        <v>0.71632653061224405</v>
      </c>
    </row>
    <row r="135" spans="1:15" x14ac:dyDescent="0.25">
      <c r="A135" t="s">
        <v>15</v>
      </c>
      <c r="B135">
        <v>50</v>
      </c>
      <c r="C135">
        <v>62.15</v>
      </c>
      <c r="D135">
        <v>-1.7</v>
      </c>
      <c r="E135">
        <v>-2.6624902114330499E-2</v>
      </c>
      <c r="F135">
        <v>12</v>
      </c>
      <c r="G135" t="s">
        <v>125</v>
      </c>
      <c r="H135" s="1">
        <v>45944</v>
      </c>
      <c r="I135" t="s">
        <v>17</v>
      </c>
      <c r="J135">
        <v>163441296</v>
      </c>
      <c r="K135">
        <v>2112787661.57864</v>
      </c>
      <c r="L135">
        <v>0.84489795918367305</v>
      </c>
      <c r="M135">
        <v>28892612.181879401</v>
      </c>
      <c r="N135">
        <v>912672026.21099997</v>
      </c>
      <c r="O135">
        <v>0.76326530612244903</v>
      </c>
    </row>
    <row r="136" spans="1:15" x14ac:dyDescent="0.25">
      <c r="A136" t="s">
        <v>15</v>
      </c>
      <c r="B136">
        <v>50</v>
      </c>
      <c r="C136">
        <v>62.15</v>
      </c>
      <c r="D136">
        <v>-1.7</v>
      </c>
      <c r="E136">
        <v>-2.6624902114330499E-2</v>
      </c>
      <c r="F136">
        <v>12</v>
      </c>
      <c r="G136" t="s">
        <v>126</v>
      </c>
      <c r="H136" s="1">
        <v>45950</v>
      </c>
      <c r="I136" t="s">
        <v>29</v>
      </c>
      <c r="J136">
        <v>105854638</v>
      </c>
      <c r="K136">
        <v>2112787661.57864</v>
      </c>
      <c r="L136">
        <v>0.84489795918367305</v>
      </c>
      <c r="M136">
        <v>21495170.845230401</v>
      </c>
      <c r="N136">
        <v>912672026.21099997</v>
      </c>
      <c r="O136">
        <v>0.76326530612244903</v>
      </c>
    </row>
    <row r="137" spans="1:15" x14ac:dyDescent="0.25">
      <c r="A137" t="s">
        <v>15</v>
      </c>
      <c r="B137">
        <v>50</v>
      </c>
      <c r="C137">
        <v>62.15</v>
      </c>
      <c r="D137">
        <v>-1.7</v>
      </c>
      <c r="E137">
        <v>-2.6624902114330499E-2</v>
      </c>
      <c r="F137">
        <v>12</v>
      </c>
      <c r="G137" t="s">
        <v>127</v>
      </c>
      <c r="H137" s="1">
        <v>46008</v>
      </c>
      <c r="I137" t="s">
        <v>22</v>
      </c>
      <c r="J137">
        <v>98504980</v>
      </c>
      <c r="K137">
        <v>2112787661.57864</v>
      </c>
      <c r="L137">
        <v>0.84489795918367305</v>
      </c>
      <c r="M137">
        <v>82832484.566638798</v>
      </c>
      <c r="N137">
        <v>912672026.21099997</v>
      </c>
      <c r="O137">
        <v>0.76326530612244903</v>
      </c>
    </row>
    <row r="138" spans="1:15" x14ac:dyDescent="0.25">
      <c r="A138" t="s">
        <v>15</v>
      </c>
      <c r="B138">
        <v>50</v>
      </c>
      <c r="C138">
        <v>62.1</v>
      </c>
      <c r="D138">
        <v>-1.75</v>
      </c>
      <c r="E138">
        <v>-2.74079874706342E-2</v>
      </c>
      <c r="F138">
        <v>13</v>
      </c>
      <c r="G138" t="s">
        <v>128</v>
      </c>
      <c r="H138" s="1">
        <v>45946</v>
      </c>
      <c r="I138" t="s">
        <v>22</v>
      </c>
      <c r="J138">
        <v>115801585</v>
      </c>
      <c r="K138">
        <v>2346142683.4545398</v>
      </c>
      <c r="L138">
        <v>0.92653061224489797</v>
      </c>
      <c r="M138">
        <v>21940297.601582699</v>
      </c>
      <c r="N138">
        <v>1140877049.7053199</v>
      </c>
      <c r="O138">
        <v>0.92653061224489797</v>
      </c>
    </row>
    <row r="139" spans="1:15" x14ac:dyDescent="0.25">
      <c r="A139" t="s">
        <v>15</v>
      </c>
      <c r="B139">
        <v>50</v>
      </c>
      <c r="C139">
        <v>62.1</v>
      </c>
      <c r="D139">
        <v>-1.75</v>
      </c>
      <c r="E139">
        <v>-2.74079874706342E-2</v>
      </c>
      <c r="F139">
        <v>13</v>
      </c>
      <c r="G139" t="s">
        <v>129</v>
      </c>
      <c r="H139" s="1">
        <v>45946</v>
      </c>
      <c r="I139" t="s">
        <v>29</v>
      </c>
      <c r="J139">
        <v>115801585</v>
      </c>
      <c r="K139">
        <v>2346142683.4545398</v>
      </c>
      <c r="L139">
        <v>0.92653061224489797</v>
      </c>
      <c r="M139">
        <v>21940297.601582699</v>
      </c>
      <c r="N139">
        <v>1140877049.7053199</v>
      </c>
      <c r="O139">
        <v>0.92653061224489797</v>
      </c>
    </row>
    <row r="140" spans="1:15" x14ac:dyDescent="0.25">
      <c r="A140" t="s">
        <v>15</v>
      </c>
      <c r="B140">
        <v>50</v>
      </c>
      <c r="C140">
        <v>62.1</v>
      </c>
      <c r="D140">
        <v>-1.75</v>
      </c>
      <c r="E140">
        <v>-2.74079874706342E-2</v>
      </c>
      <c r="F140">
        <v>13</v>
      </c>
      <c r="G140" t="s">
        <v>128</v>
      </c>
      <c r="H140" s="1">
        <v>45953</v>
      </c>
      <c r="I140" t="s">
        <v>22</v>
      </c>
      <c r="J140">
        <v>166688171</v>
      </c>
      <c r="K140">
        <v>2346142683.4545398</v>
      </c>
      <c r="L140">
        <v>0.92653061224489797</v>
      </c>
      <c r="M140">
        <v>37556947.806375697</v>
      </c>
      <c r="N140">
        <v>1140877049.7053199</v>
      </c>
      <c r="O140">
        <v>0.92653061224489797</v>
      </c>
    </row>
    <row r="141" spans="1:15" x14ac:dyDescent="0.25">
      <c r="A141" t="s">
        <v>15</v>
      </c>
      <c r="B141">
        <v>50</v>
      </c>
      <c r="C141">
        <v>62.1</v>
      </c>
      <c r="D141">
        <v>-1.75</v>
      </c>
      <c r="E141">
        <v>-2.74079874706342E-2</v>
      </c>
      <c r="F141">
        <v>13</v>
      </c>
      <c r="G141" t="s">
        <v>130</v>
      </c>
      <c r="H141" s="1">
        <v>45988</v>
      </c>
      <c r="I141" t="s">
        <v>17</v>
      </c>
      <c r="J141">
        <v>53852335</v>
      </c>
      <c r="K141">
        <v>2346142683.4545398</v>
      </c>
      <c r="L141">
        <v>0.92653061224489797</v>
      </c>
      <c r="M141">
        <v>27875716.7462276</v>
      </c>
      <c r="N141">
        <v>1140877049.7053199</v>
      </c>
      <c r="O141">
        <v>0.92653061224489797</v>
      </c>
    </row>
    <row r="142" spans="1:15" x14ac:dyDescent="0.25">
      <c r="A142" t="s">
        <v>15</v>
      </c>
      <c r="B142">
        <v>50</v>
      </c>
      <c r="C142">
        <v>62.1</v>
      </c>
      <c r="D142">
        <v>-1.75</v>
      </c>
      <c r="E142">
        <v>-2.74079874706342E-2</v>
      </c>
      <c r="F142">
        <v>13</v>
      </c>
      <c r="G142" t="s">
        <v>129</v>
      </c>
      <c r="H142" s="1">
        <v>45994</v>
      </c>
      <c r="I142" t="s">
        <v>29</v>
      </c>
      <c r="J142">
        <v>46546830</v>
      </c>
      <c r="K142">
        <v>2346142683.4545398</v>
      </c>
      <c r="L142">
        <v>0.92653061224489797</v>
      </c>
      <c r="M142">
        <v>27676910.708411001</v>
      </c>
      <c r="N142">
        <v>1140877049.7053199</v>
      </c>
      <c r="O142">
        <v>0.92653061224489797</v>
      </c>
    </row>
    <row r="143" spans="1:15" x14ac:dyDescent="0.25">
      <c r="A143" t="s">
        <v>15</v>
      </c>
      <c r="B143">
        <v>50</v>
      </c>
      <c r="C143">
        <v>62.1</v>
      </c>
      <c r="D143">
        <v>-1.75</v>
      </c>
      <c r="E143">
        <v>-2.74079874706342E-2</v>
      </c>
      <c r="F143">
        <v>13</v>
      </c>
      <c r="G143" t="s">
        <v>128</v>
      </c>
      <c r="H143" s="1">
        <v>46007</v>
      </c>
      <c r="I143" t="s">
        <v>22</v>
      </c>
      <c r="J143">
        <v>169375708</v>
      </c>
      <c r="K143">
        <v>2346142683.4545398</v>
      </c>
      <c r="L143">
        <v>0.92653061224489797</v>
      </c>
      <c r="M143">
        <v>137575824.70753399</v>
      </c>
      <c r="N143">
        <v>1140877049.7053199</v>
      </c>
      <c r="O143">
        <v>0.92653061224489797</v>
      </c>
    </row>
    <row r="144" spans="1:15" x14ac:dyDescent="0.25">
      <c r="A144" t="s">
        <v>15</v>
      </c>
      <c r="B144">
        <v>50</v>
      </c>
      <c r="C144">
        <v>62.1</v>
      </c>
      <c r="D144">
        <v>-1.75</v>
      </c>
      <c r="E144">
        <v>-2.74079874706342E-2</v>
      </c>
      <c r="F144">
        <v>13</v>
      </c>
      <c r="G144" t="s">
        <v>130</v>
      </c>
      <c r="H144" s="1">
        <v>46009</v>
      </c>
      <c r="I144" t="s">
        <v>17</v>
      </c>
      <c r="J144">
        <v>117973409</v>
      </c>
      <c r="K144">
        <v>2346142683.4545398</v>
      </c>
      <c r="L144">
        <v>0.92653061224489797</v>
      </c>
      <c r="M144">
        <v>102701817.658914</v>
      </c>
      <c r="N144">
        <v>1140877049.7053199</v>
      </c>
      <c r="O144">
        <v>0.92653061224489797</v>
      </c>
    </row>
    <row r="145" spans="1:15" x14ac:dyDescent="0.25">
      <c r="A145" t="s">
        <v>15</v>
      </c>
      <c r="B145">
        <v>50</v>
      </c>
      <c r="C145">
        <v>62.05</v>
      </c>
      <c r="D145">
        <v>-1.8</v>
      </c>
      <c r="E145">
        <v>-2.81910728269382E-2</v>
      </c>
      <c r="F145">
        <v>11</v>
      </c>
      <c r="G145" t="s">
        <v>131</v>
      </c>
      <c r="H145" s="1">
        <v>45947</v>
      </c>
      <c r="I145" t="s">
        <v>20</v>
      </c>
      <c r="J145">
        <v>166191884</v>
      </c>
      <c r="K145">
        <v>2101107180.67676</v>
      </c>
      <c r="L145">
        <v>0.83061224489795904</v>
      </c>
      <c r="M145">
        <v>32597877.346475299</v>
      </c>
      <c r="N145">
        <v>1047306664.48809</v>
      </c>
      <c r="O145">
        <v>0.84693877551020402</v>
      </c>
    </row>
    <row r="146" spans="1:15" x14ac:dyDescent="0.25">
      <c r="A146" t="s">
        <v>15</v>
      </c>
      <c r="B146">
        <v>50</v>
      </c>
      <c r="C146">
        <v>62.05</v>
      </c>
      <c r="D146">
        <v>-1.8</v>
      </c>
      <c r="E146">
        <v>-2.81910728269382E-2</v>
      </c>
      <c r="F146">
        <v>11</v>
      </c>
      <c r="G146" t="s">
        <v>132</v>
      </c>
      <c r="H146" s="1">
        <v>45947</v>
      </c>
      <c r="I146" t="s">
        <v>22</v>
      </c>
      <c r="J146">
        <v>166191884</v>
      </c>
      <c r="K146">
        <v>2101107180.67676</v>
      </c>
      <c r="L146">
        <v>0.83061224489795904</v>
      </c>
      <c r="M146">
        <v>32597877.346475299</v>
      </c>
      <c r="N146">
        <v>1047306664.48809</v>
      </c>
      <c r="O146">
        <v>0.84693877551020402</v>
      </c>
    </row>
    <row r="147" spans="1:15" x14ac:dyDescent="0.25">
      <c r="A147" t="s">
        <v>15</v>
      </c>
      <c r="B147">
        <v>50</v>
      </c>
      <c r="C147">
        <v>62</v>
      </c>
      <c r="D147">
        <v>-1.85</v>
      </c>
      <c r="E147">
        <v>-2.8974158183241901E-2</v>
      </c>
      <c r="F147">
        <v>11</v>
      </c>
      <c r="G147" t="s">
        <v>132</v>
      </c>
      <c r="H147" s="1">
        <v>45978</v>
      </c>
      <c r="I147" t="s">
        <v>22</v>
      </c>
      <c r="J147">
        <v>91925734</v>
      </c>
      <c r="K147">
        <v>2101107180.67676</v>
      </c>
      <c r="L147">
        <v>0.83061224489795904</v>
      </c>
      <c r="M147">
        <v>36061734.541943297</v>
      </c>
      <c r="N147">
        <v>1047306664.48809</v>
      </c>
      <c r="O147">
        <v>0.84693877551020402</v>
      </c>
    </row>
    <row r="148" spans="1:15" x14ac:dyDescent="0.25">
      <c r="A148" t="s">
        <v>15</v>
      </c>
      <c r="B148">
        <v>50</v>
      </c>
      <c r="C148">
        <v>62</v>
      </c>
      <c r="D148">
        <v>-1.85</v>
      </c>
      <c r="E148">
        <v>-2.8974158183241901E-2</v>
      </c>
      <c r="F148">
        <v>11</v>
      </c>
      <c r="G148" t="s">
        <v>133</v>
      </c>
      <c r="H148" s="1">
        <v>45995</v>
      </c>
      <c r="I148" t="s">
        <v>29</v>
      </c>
      <c r="J148">
        <v>40655322</v>
      </c>
      <c r="K148">
        <v>2101107180.67676</v>
      </c>
      <c r="L148">
        <v>0.83061224489795904</v>
      </c>
      <c r="M148">
        <v>25026286.276519299</v>
      </c>
      <c r="N148">
        <v>1047306664.48809</v>
      </c>
      <c r="O148">
        <v>0.84693877551020402</v>
      </c>
    </row>
    <row r="149" spans="1:15" x14ac:dyDescent="0.25">
      <c r="A149" t="s">
        <v>15</v>
      </c>
      <c r="B149">
        <v>50</v>
      </c>
      <c r="C149">
        <v>61.95</v>
      </c>
      <c r="D149">
        <v>-1.8999999999999899</v>
      </c>
      <c r="E149">
        <v>-2.9757243539545699E-2</v>
      </c>
      <c r="F149">
        <v>13</v>
      </c>
      <c r="G149" t="s">
        <v>134</v>
      </c>
      <c r="H149" s="1">
        <v>45939</v>
      </c>
      <c r="I149" t="s">
        <v>17</v>
      </c>
      <c r="J149">
        <v>76478634</v>
      </c>
      <c r="K149">
        <v>2517073874.7070599</v>
      </c>
      <c r="L149">
        <v>0.94897959183673397</v>
      </c>
      <c r="M149">
        <v>12614270.3210131</v>
      </c>
      <c r="N149">
        <v>1190143737.91518</v>
      </c>
      <c r="O149">
        <v>0.94897959183673397</v>
      </c>
    </row>
    <row r="150" spans="1:15" x14ac:dyDescent="0.25">
      <c r="A150" t="s">
        <v>15</v>
      </c>
      <c r="B150">
        <v>50</v>
      </c>
      <c r="C150">
        <v>61.95</v>
      </c>
      <c r="D150">
        <v>-1.8999999999999899</v>
      </c>
      <c r="E150">
        <v>-2.9757243539545699E-2</v>
      </c>
      <c r="F150">
        <v>13</v>
      </c>
      <c r="G150" t="s">
        <v>134</v>
      </c>
      <c r="H150" s="1">
        <v>45981</v>
      </c>
      <c r="I150" t="s">
        <v>17</v>
      </c>
      <c r="J150">
        <v>84027889</v>
      </c>
      <c r="K150">
        <v>2517073874.7070599</v>
      </c>
      <c r="L150">
        <v>0.94897959183673397</v>
      </c>
      <c r="M150">
        <v>36575263.050767101</v>
      </c>
      <c r="N150">
        <v>1190143737.91518</v>
      </c>
      <c r="O150">
        <v>0.94897959183673397</v>
      </c>
    </row>
    <row r="151" spans="1:15" x14ac:dyDescent="0.25">
      <c r="A151" t="s">
        <v>15</v>
      </c>
      <c r="B151">
        <v>50</v>
      </c>
      <c r="C151">
        <v>61.95</v>
      </c>
      <c r="D151">
        <v>-1.8999999999999899</v>
      </c>
      <c r="E151">
        <v>-2.9757243539545699E-2</v>
      </c>
      <c r="F151">
        <v>13</v>
      </c>
      <c r="G151" t="s">
        <v>135</v>
      </c>
      <c r="H151" s="1">
        <v>45989</v>
      </c>
      <c r="I151" t="s">
        <v>22</v>
      </c>
      <c r="J151">
        <v>68386478</v>
      </c>
      <c r="K151">
        <v>2517073874.7070599</v>
      </c>
      <c r="L151">
        <v>0.94897959183673397</v>
      </c>
      <c r="M151">
        <v>36647406.158361003</v>
      </c>
      <c r="N151">
        <v>1190143737.91518</v>
      </c>
      <c r="O151">
        <v>0.94897959183673397</v>
      </c>
    </row>
    <row r="152" spans="1:15" x14ac:dyDescent="0.25">
      <c r="A152" t="s">
        <v>15</v>
      </c>
      <c r="B152">
        <v>50</v>
      </c>
      <c r="C152">
        <v>61.95</v>
      </c>
      <c r="D152">
        <v>-1.8999999999999899</v>
      </c>
      <c r="E152">
        <v>-2.9757243539545699E-2</v>
      </c>
      <c r="F152">
        <v>13</v>
      </c>
      <c r="G152" t="s">
        <v>134</v>
      </c>
      <c r="H152" s="1">
        <v>45992</v>
      </c>
      <c r="I152" t="s">
        <v>17</v>
      </c>
      <c r="J152">
        <v>103003085</v>
      </c>
      <c r="K152">
        <v>2517073874.7070599</v>
      </c>
      <c r="L152">
        <v>0.94897959183673397</v>
      </c>
      <c r="M152">
        <v>57144539.322404601</v>
      </c>
      <c r="N152">
        <v>1190143737.91518</v>
      </c>
      <c r="O152">
        <v>0.94897959183673397</v>
      </c>
    </row>
    <row r="153" spans="1:15" x14ac:dyDescent="0.25">
      <c r="A153" t="s">
        <v>15</v>
      </c>
      <c r="B153">
        <v>50</v>
      </c>
      <c r="C153">
        <v>61.9</v>
      </c>
      <c r="D153">
        <v>-1.95</v>
      </c>
      <c r="E153">
        <v>-3.0540328895849601E-2</v>
      </c>
      <c r="F153">
        <v>14</v>
      </c>
      <c r="G153" t="s">
        <v>136</v>
      </c>
      <c r="H153" s="1">
        <v>45947</v>
      </c>
      <c r="I153" t="s">
        <v>29</v>
      </c>
      <c r="J153">
        <v>166191884</v>
      </c>
      <c r="K153">
        <v>2963459760.7070599</v>
      </c>
      <c r="L153">
        <v>0.98775510204081596</v>
      </c>
      <c r="M153">
        <v>32597877.346475299</v>
      </c>
      <c r="N153">
        <v>1359292358.5318301</v>
      </c>
      <c r="O153">
        <v>0.98775510204081596</v>
      </c>
    </row>
    <row r="154" spans="1:15" x14ac:dyDescent="0.25">
      <c r="A154" t="s">
        <v>15</v>
      </c>
      <c r="B154">
        <v>50</v>
      </c>
      <c r="C154">
        <v>61.9</v>
      </c>
      <c r="D154">
        <v>-1.95</v>
      </c>
      <c r="E154">
        <v>-3.0540328895849601E-2</v>
      </c>
      <c r="F154">
        <v>14</v>
      </c>
      <c r="G154" t="s">
        <v>137</v>
      </c>
      <c r="H154" s="1">
        <v>45975</v>
      </c>
      <c r="I154" t="s">
        <v>17</v>
      </c>
      <c r="J154">
        <v>223192943</v>
      </c>
      <c r="K154">
        <v>2963459760.7070599</v>
      </c>
      <c r="L154">
        <v>0.98775510204081596</v>
      </c>
      <c r="M154">
        <v>84574310.308327705</v>
      </c>
      <c r="N154">
        <v>1359292358.5318301</v>
      </c>
      <c r="O154">
        <v>0.98775510204081596</v>
      </c>
    </row>
    <row r="155" spans="1:15" x14ac:dyDescent="0.25">
      <c r="A155" t="s">
        <v>15</v>
      </c>
      <c r="B155">
        <v>50</v>
      </c>
      <c r="C155">
        <v>61.9</v>
      </c>
      <c r="D155">
        <v>-1.95</v>
      </c>
      <c r="E155">
        <v>-3.0540328895849601E-2</v>
      </c>
      <c r="F155">
        <v>14</v>
      </c>
      <c r="G155" t="s">
        <v>138</v>
      </c>
      <c r="H155" s="1">
        <v>45978</v>
      </c>
      <c r="I155" t="s">
        <v>20</v>
      </c>
      <c r="J155">
        <v>91925734</v>
      </c>
      <c r="K155">
        <v>2963459760.7070599</v>
      </c>
      <c r="L155">
        <v>0.98775510204081596</v>
      </c>
      <c r="M155">
        <v>36061734.541943297</v>
      </c>
      <c r="N155">
        <v>1359292358.5318301</v>
      </c>
      <c r="O155">
        <v>0.98775510204081596</v>
      </c>
    </row>
    <row r="156" spans="1:15" x14ac:dyDescent="0.25">
      <c r="A156" t="s">
        <v>15</v>
      </c>
      <c r="B156">
        <v>50</v>
      </c>
      <c r="C156">
        <v>61.9</v>
      </c>
      <c r="D156">
        <v>-1.95</v>
      </c>
      <c r="E156">
        <v>-3.0540328895849601E-2</v>
      </c>
      <c r="F156">
        <v>14</v>
      </c>
      <c r="G156" t="s">
        <v>138</v>
      </c>
      <c r="H156" s="1">
        <v>45981</v>
      </c>
      <c r="I156" t="s">
        <v>20</v>
      </c>
      <c r="J156">
        <v>84027889</v>
      </c>
      <c r="K156">
        <v>2963459760.7070599</v>
      </c>
      <c r="L156">
        <v>0.98775510204081596</v>
      </c>
      <c r="M156">
        <v>36575263.050767101</v>
      </c>
      <c r="N156">
        <v>1359292358.5318301</v>
      </c>
      <c r="O156">
        <v>0.98775510204081596</v>
      </c>
    </row>
    <row r="157" spans="1:15" x14ac:dyDescent="0.25">
      <c r="A157" t="s">
        <v>15</v>
      </c>
      <c r="B157">
        <v>50</v>
      </c>
      <c r="C157">
        <v>61.9</v>
      </c>
      <c r="D157">
        <v>-1.95</v>
      </c>
      <c r="E157">
        <v>-3.0540328895849601E-2</v>
      </c>
      <c r="F157">
        <v>14</v>
      </c>
      <c r="G157" t="s">
        <v>138</v>
      </c>
      <c r="H157" s="1">
        <v>45988</v>
      </c>
      <c r="I157" t="s">
        <v>20</v>
      </c>
      <c r="J157">
        <v>53852335</v>
      </c>
      <c r="K157">
        <v>2963459760.7070599</v>
      </c>
      <c r="L157">
        <v>0.98775510204081596</v>
      </c>
      <c r="M157">
        <v>27875716.7462276</v>
      </c>
      <c r="N157">
        <v>1359292358.5318301</v>
      </c>
      <c r="O157">
        <v>0.98775510204081596</v>
      </c>
    </row>
    <row r="158" spans="1:15" x14ac:dyDescent="0.25">
      <c r="A158" t="s">
        <v>15</v>
      </c>
      <c r="B158">
        <v>50</v>
      </c>
      <c r="C158">
        <v>61.9</v>
      </c>
      <c r="D158">
        <v>-1.95</v>
      </c>
      <c r="E158">
        <v>-3.0540328895849601E-2</v>
      </c>
      <c r="F158">
        <v>14</v>
      </c>
      <c r="G158" t="s">
        <v>138</v>
      </c>
      <c r="H158" s="1">
        <v>46008</v>
      </c>
      <c r="I158" t="s">
        <v>20</v>
      </c>
      <c r="J158">
        <v>98504980</v>
      </c>
      <c r="K158">
        <v>2963459760.7070599</v>
      </c>
      <c r="L158">
        <v>0.98775510204081596</v>
      </c>
      <c r="M158">
        <v>82832484.566638798</v>
      </c>
      <c r="N158">
        <v>1359292358.5318301</v>
      </c>
      <c r="O158">
        <v>0.98775510204081596</v>
      </c>
    </row>
    <row r="159" spans="1:15" x14ac:dyDescent="0.25">
      <c r="A159" t="s">
        <v>15</v>
      </c>
      <c r="B159">
        <v>50</v>
      </c>
      <c r="C159">
        <v>61.9</v>
      </c>
      <c r="D159">
        <v>-1.95</v>
      </c>
      <c r="E159">
        <v>-3.0540328895849601E-2</v>
      </c>
      <c r="F159">
        <v>14</v>
      </c>
      <c r="G159" t="s">
        <v>138</v>
      </c>
      <c r="H159" s="1">
        <v>46009</v>
      </c>
      <c r="I159" t="s">
        <v>20</v>
      </c>
      <c r="J159">
        <v>117973409</v>
      </c>
      <c r="K159">
        <v>2963459760.7070599</v>
      </c>
      <c r="L159">
        <v>0.98775510204081596</v>
      </c>
      <c r="M159">
        <v>102701817.658914</v>
      </c>
      <c r="N159">
        <v>1359292358.5318301</v>
      </c>
      <c r="O159">
        <v>0.98775510204081596</v>
      </c>
    </row>
    <row r="160" spans="1:15" x14ac:dyDescent="0.25">
      <c r="A160" t="s">
        <v>15</v>
      </c>
      <c r="B160">
        <v>50</v>
      </c>
      <c r="C160">
        <v>61.85</v>
      </c>
      <c r="D160">
        <v>-2</v>
      </c>
      <c r="E160">
        <v>-3.1323414252153403E-2</v>
      </c>
      <c r="F160">
        <v>13</v>
      </c>
      <c r="G160" t="s">
        <v>139</v>
      </c>
      <c r="H160" s="1">
        <v>45939</v>
      </c>
      <c r="I160" t="s">
        <v>22</v>
      </c>
      <c r="J160">
        <v>76478634</v>
      </c>
      <c r="K160">
        <v>2547980050.7070599</v>
      </c>
      <c r="L160">
        <v>0.96530612244897895</v>
      </c>
      <c r="M160">
        <v>12614270.3210131</v>
      </c>
      <c r="N160">
        <v>1277797665.1656401</v>
      </c>
      <c r="O160">
        <v>0.96530612244897895</v>
      </c>
    </row>
    <row r="161" spans="1:15" x14ac:dyDescent="0.25">
      <c r="A161" t="s">
        <v>15</v>
      </c>
      <c r="B161">
        <v>50</v>
      </c>
      <c r="C161">
        <v>61.85</v>
      </c>
      <c r="D161">
        <v>-2</v>
      </c>
      <c r="E161">
        <v>-3.1323414252153403E-2</v>
      </c>
      <c r="F161">
        <v>13</v>
      </c>
      <c r="G161" t="s">
        <v>139</v>
      </c>
      <c r="H161" s="1">
        <v>45944</v>
      </c>
      <c r="I161" t="s">
        <v>22</v>
      </c>
      <c r="J161">
        <v>163441296</v>
      </c>
      <c r="K161">
        <v>2547980050.7070599</v>
      </c>
      <c r="L161">
        <v>0.96530612244897895</v>
      </c>
      <c r="M161">
        <v>28892612.181879401</v>
      </c>
      <c r="N161">
        <v>1277797665.1656401</v>
      </c>
      <c r="O161">
        <v>0.96530612244897895</v>
      </c>
    </row>
    <row r="162" spans="1:15" x14ac:dyDescent="0.25">
      <c r="A162" t="s">
        <v>15</v>
      </c>
      <c r="B162">
        <v>50</v>
      </c>
      <c r="C162">
        <v>61.85</v>
      </c>
      <c r="D162">
        <v>-2</v>
      </c>
      <c r="E162">
        <v>-3.1323414252153403E-2</v>
      </c>
      <c r="F162">
        <v>13</v>
      </c>
      <c r="G162" t="s">
        <v>140</v>
      </c>
      <c r="H162" s="1">
        <v>45989</v>
      </c>
      <c r="I162" t="s">
        <v>29</v>
      </c>
      <c r="J162">
        <v>68386478</v>
      </c>
      <c r="K162">
        <v>2547980050.7070599</v>
      </c>
      <c r="L162">
        <v>0.96530612244897895</v>
      </c>
      <c r="M162">
        <v>36647406.158361003</v>
      </c>
      <c r="N162">
        <v>1277797665.1656401</v>
      </c>
      <c r="O162">
        <v>0.96530612244897895</v>
      </c>
    </row>
    <row r="163" spans="1:15" x14ac:dyDescent="0.25">
      <c r="A163" t="s">
        <v>15</v>
      </c>
      <c r="B163">
        <v>50</v>
      </c>
      <c r="C163">
        <v>61.85</v>
      </c>
      <c r="D163">
        <v>-2</v>
      </c>
      <c r="E163">
        <v>-3.1323414252153403E-2</v>
      </c>
      <c r="F163">
        <v>13</v>
      </c>
      <c r="G163" t="s">
        <v>140</v>
      </c>
      <c r="H163" s="1">
        <v>46008</v>
      </c>
      <c r="I163" t="s">
        <v>29</v>
      </c>
      <c r="J163">
        <v>98504980</v>
      </c>
      <c r="K163">
        <v>2547980050.7070599</v>
      </c>
      <c r="L163">
        <v>0.96530612244897895</v>
      </c>
      <c r="M163">
        <v>82832484.566638798</v>
      </c>
      <c r="N163">
        <v>1277797665.1656401</v>
      </c>
      <c r="O163">
        <v>0.96530612244897895</v>
      </c>
    </row>
    <row r="164" spans="1:15" x14ac:dyDescent="0.25">
      <c r="A164" t="s">
        <v>15</v>
      </c>
      <c r="B164">
        <v>50</v>
      </c>
      <c r="C164">
        <v>61.8</v>
      </c>
      <c r="D164">
        <v>-2.0499999999999998</v>
      </c>
      <c r="E164">
        <v>-3.2106499608457302E-2</v>
      </c>
      <c r="F164">
        <v>12</v>
      </c>
      <c r="G164" t="s">
        <v>141</v>
      </c>
      <c r="H164" s="1">
        <v>45945</v>
      </c>
      <c r="I164" t="s">
        <v>20</v>
      </c>
      <c r="J164">
        <v>101918261</v>
      </c>
      <c r="K164">
        <v>2344397917.2979698</v>
      </c>
      <c r="L164">
        <v>0.89795918367346905</v>
      </c>
      <c r="M164">
        <v>18652133.510719098</v>
      </c>
      <c r="N164">
        <v>1088655321.2528601</v>
      </c>
      <c r="O164">
        <v>0.86938775510204003</v>
      </c>
    </row>
    <row r="165" spans="1:15" x14ac:dyDescent="0.25">
      <c r="A165" t="s">
        <v>15</v>
      </c>
      <c r="B165">
        <v>50</v>
      </c>
      <c r="C165">
        <v>61.8</v>
      </c>
      <c r="D165">
        <v>-2.0499999999999998</v>
      </c>
      <c r="E165">
        <v>-3.2106499608457302E-2</v>
      </c>
      <c r="F165">
        <v>12</v>
      </c>
      <c r="G165" t="s">
        <v>142</v>
      </c>
      <c r="H165" s="1">
        <v>45945</v>
      </c>
      <c r="I165" t="s">
        <v>17</v>
      </c>
      <c r="J165">
        <v>101918261</v>
      </c>
      <c r="K165">
        <v>2344397917.2979698</v>
      </c>
      <c r="L165">
        <v>0.89795918367346905</v>
      </c>
      <c r="M165">
        <v>18652133.510719098</v>
      </c>
      <c r="N165">
        <v>1088655321.2528601</v>
      </c>
      <c r="O165">
        <v>0.86938775510204003</v>
      </c>
    </row>
    <row r="166" spans="1:15" x14ac:dyDescent="0.25">
      <c r="A166" t="s">
        <v>15</v>
      </c>
      <c r="B166">
        <v>50</v>
      </c>
      <c r="C166">
        <v>61.8</v>
      </c>
      <c r="D166">
        <v>-2.0499999999999998</v>
      </c>
      <c r="E166">
        <v>-3.2106499608457302E-2</v>
      </c>
      <c r="F166">
        <v>12</v>
      </c>
      <c r="G166" t="s">
        <v>143</v>
      </c>
      <c r="H166" s="1">
        <v>45978</v>
      </c>
      <c r="I166" t="s">
        <v>29</v>
      </c>
      <c r="J166">
        <v>91925734</v>
      </c>
      <c r="K166">
        <v>2344397917.2979698</v>
      </c>
      <c r="L166">
        <v>0.89795918367346905</v>
      </c>
      <c r="M166">
        <v>36061734.541943297</v>
      </c>
      <c r="N166">
        <v>1088655321.2528601</v>
      </c>
      <c r="O166">
        <v>0.86938775510204003</v>
      </c>
    </row>
    <row r="167" spans="1:15" x14ac:dyDescent="0.25">
      <c r="A167" t="s">
        <v>15</v>
      </c>
      <c r="B167">
        <v>50</v>
      </c>
      <c r="C167">
        <v>61.8</v>
      </c>
      <c r="D167">
        <v>-2.0499999999999998</v>
      </c>
      <c r="E167">
        <v>-3.2106499608457302E-2</v>
      </c>
      <c r="F167">
        <v>12</v>
      </c>
      <c r="G167" t="s">
        <v>144</v>
      </c>
      <c r="H167" s="1">
        <v>45988</v>
      </c>
      <c r="I167" t="s">
        <v>22</v>
      </c>
      <c r="J167">
        <v>53852335</v>
      </c>
      <c r="K167">
        <v>2344397917.2979698</v>
      </c>
      <c r="L167">
        <v>0.89795918367346905</v>
      </c>
      <c r="M167">
        <v>27875716.7462276</v>
      </c>
      <c r="N167">
        <v>1088655321.2528601</v>
      </c>
      <c r="O167">
        <v>0.86938775510204003</v>
      </c>
    </row>
    <row r="168" spans="1:15" x14ac:dyDescent="0.25">
      <c r="A168" t="s">
        <v>15</v>
      </c>
      <c r="B168">
        <v>50</v>
      </c>
      <c r="C168">
        <v>61.8</v>
      </c>
      <c r="D168">
        <v>-2.0499999999999998</v>
      </c>
      <c r="E168">
        <v>-3.2106499608457302E-2</v>
      </c>
      <c r="F168">
        <v>12</v>
      </c>
      <c r="G168" t="s">
        <v>144</v>
      </c>
      <c r="H168" s="1">
        <v>45992</v>
      </c>
      <c r="I168" t="s">
        <v>22</v>
      </c>
      <c r="J168">
        <v>103003085</v>
      </c>
      <c r="K168">
        <v>2344397917.2979698</v>
      </c>
      <c r="L168">
        <v>0.89795918367346905</v>
      </c>
      <c r="M168">
        <v>57144539.322404601</v>
      </c>
      <c r="N168">
        <v>1088655321.2528601</v>
      </c>
      <c r="O168">
        <v>0.86938775510204003</v>
      </c>
    </row>
    <row r="169" spans="1:15" x14ac:dyDescent="0.25">
      <c r="A169" t="s">
        <v>15</v>
      </c>
      <c r="B169">
        <v>50</v>
      </c>
      <c r="C169">
        <v>61.8</v>
      </c>
      <c r="D169">
        <v>-2.0499999999999998</v>
      </c>
      <c r="E169">
        <v>-3.2106499608457302E-2</v>
      </c>
      <c r="F169">
        <v>12</v>
      </c>
      <c r="G169" t="s">
        <v>144</v>
      </c>
      <c r="H169" s="1">
        <v>45993</v>
      </c>
      <c r="I169" t="s">
        <v>22</v>
      </c>
      <c r="J169">
        <v>43152711</v>
      </c>
      <c r="K169">
        <v>2344397917.2979698</v>
      </c>
      <c r="L169">
        <v>0.89795918367346905</v>
      </c>
      <c r="M169">
        <v>24784724.069681201</v>
      </c>
      <c r="N169">
        <v>1088655321.2528601</v>
      </c>
      <c r="O169">
        <v>0.86938775510204003</v>
      </c>
    </row>
    <row r="170" spans="1:15" x14ac:dyDescent="0.25">
      <c r="A170" t="s">
        <v>15</v>
      </c>
      <c r="B170">
        <v>50</v>
      </c>
      <c r="C170">
        <v>61.8</v>
      </c>
      <c r="D170">
        <v>-2.0499999999999998</v>
      </c>
      <c r="E170">
        <v>-3.2106499608457302E-2</v>
      </c>
      <c r="F170">
        <v>12</v>
      </c>
      <c r="G170" t="s">
        <v>144</v>
      </c>
      <c r="H170" s="1">
        <v>46009</v>
      </c>
      <c r="I170" t="s">
        <v>22</v>
      </c>
      <c r="J170">
        <v>117973409</v>
      </c>
      <c r="K170">
        <v>2344397917.2979698</v>
      </c>
      <c r="L170">
        <v>0.89795918367346905</v>
      </c>
      <c r="M170">
        <v>102701817.658914</v>
      </c>
      <c r="N170">
        <v>1088655321.2528601</v>
      </c>
      <c r="O170">
        <v>0.86938775510204003</v>
      </c>
    </row>
    <row r="171" spans="1:15" x14ac:dyDescent="0.25">
      <c r="A171" t="s">
        <v>15</v>
      </c>
      <c r="B171">
        <v>50</v>
      </c>
      <c r="C171">
        <v>61.75</v>
      </c>
      <c r="D171">
        <v>-2.1</v>
      </c>
      <c r="E171">
        <v>-3.2889584964761097E-2</v>
      </c>
      <c r="F171">
        <v>11</v>
      </c>
      <c r="G171" t="s">
        <v>145</v>
      </c>
      <c r="H171" s="1">
        <v>45953</v>
      </c>
      <c r="I171" t="s">
        <v>29</v>
      </c>
      <c r="J171">
        <v>166688171</v>
      </c>
      <c r="K171">
        <v>2114583582.2979701</v>
      </c>
      <c r="L171">
        <v>0.85306122448979504</v>
      </c>
      <c r="M171">
        <v>37556947.806375697</v>
      </c>
      <c r="N171">
        <v>998500984.89800298</v>
      </c>
      <c r="O171">
        <v>0.83673469387755095</v>
      </c>
    </row>
    <row r="172" spans="1:15" x14ac:dyDescent="0.25">
      <c r="A172" t="s">
        <v>15</v>
      </c>
      <c r="B172">
        <v>50</v>
      </c>
      <c r="C172">
        <v>61.7</v>
      </c>
      <c r="D172">
        <v>-2.1499999999999901</v>
      </c>
      <c r="E172">
        <v>-3.3672670321064899E-2</v>
      </c>
      <c r="F172">
        <v>11</v>
      </c>
      <c r="G172" t="s">
        <v>146</v>
      </c>
      <c r="H172" s="1">
        <v>45937</v>
      </c>
      <c r="I172" t="s">
        <v>20</v>
      </c>
      <c r="J172">
        <v>138001575</v>
      </c>
      <c r="K172">
        <v>2030642211.0479701</v>
      </c>
      <c r="L172">
        <v>0.79183673469387705</v>
      </c>
      <c r="M172">
        <v>21237483.5117561</v>
      </c>
      <c r="N172">
        <v>967267919.58558095</v>
      </c>
      <c r="O172">
        <v>0.79183673469387705</v>
      </c>
    </row>
    <row r="173" spans="1:15" x14ac:dyDescent="0.25">
      <c r="A173" t="s">
        <v>15</v>
      </c>
      <c r="B173">
        <v>50</v>
      </c>
      <c r="C173">
        <v>61.7</v>
      </c>
      <c r="D173">
        <v>-2.1499999999999901</v>
      </c>
      <c r="E173">
        <v>-3.3672670321064899E-2</v>
      </c>
      <c r="F173">
        <v>11</v>
      </c>
      <c r="G173" t="s">
        <v>147</v>
      </c>
      <c r="H173" s="1">
        <v>45937</v>
      </c>
      <c r="I173" t="s">
        <v>17</v>
      </c>
      <c r="J173">
        <v>138001575</v>
      </c>
      <c r="K173">
        <v>2030642211.0479701</v>
      </c>
      <c r="L173">
        <v>0.79183673469387705</v>
      </c>
      <c r="M173">
        <v>21237483.5117561</v>
      </c>
      <c r="N173">
        <v>967267919.58558095</v>
      </c>
      <c r="O173">
        <v>0.79183673469387705</v>
      </c>
    </row>
    <row r="174" spans="1:15" x14ac:dyDescent="0.25">
      <c r="A174" t="s">
        <v>15</v>
      </c>
      <c r="B174">
        <v>50</v>
      </c>
      <c r="C174">
        <v>61.7</v>
      </c>
      <c r="D174">
        <v>-2.1499999999999901</v>
      </c>
      <c r="E174">
        <v>-3.3672670321064899E-2</v>
      </c>
      <c r="F174">
        <v>11</v>
      </c>
      <c r="G174" t="s">
        <v>146</v>
      </c>
      <c r="H174" s="1">
        <v>45975</v>
      </c>
      <c r="I174" t="s">
        <v>20</v>
      </c>
      <c r="J174">
        <v>223192943</v>
      </c>
      <c r="K174">
        <v>2030642211.0479701</v>
      </c>
      <c r="L174">
        <v>0.79183673469387705</v>
      </c>
      <c r="M174">
        <v>84574310.308327705</v>
      </c>
      <c r="N174">
        <v>967267919.58558095</v>
      </c>
      <c r="O174">
        <v>0.79183673469387705</v>
      </c>
    </row>
    <row r="175" spans="1:15" x14ac:dyDescent="0.25">
      <c r="A175" t="s">
        <v>15</v>
      </c>
      <c r="B175">
        <v>50</v>
      </c>
      <c r="C175">
        <v>61.7</v>
      </c>
      <c r="D175">
        <v>-2.1499999999999901</v>
      </c>
      <c r="E175">
        <v>-3.3672670321064899E-2</v>
      </c>
      <c r="F175">
        <v>11</v>
      </c>
      <c r="G175" t="s">
        <v>146</v>
      </c>
      <c r="H175" s="1">
        <v>45993</v>
      </c>
      <c r="I175" t="s">
        <v>20</v>
      </c>
      <c r="J175">
        <v>43152711</v>
      </c>
      <c r="K175">
        <v>2030642211.0479701</v>
      </c>
      <c r="L175">
        <v>0.79183673469387705</v>
      </c>
      <c r="M175">
        <v>24784724.069681201</v>
      </c>
      <c r="N175">
        <v>967267919.58558095</v>
      </c>
      <c r="O175">
        <v>0.79183673469387705</v>
      </c>
    </row>
    <row r="176" spans="1:15" x14ac:dyDescent="0.25">
      <c r="A176" t="s">
        <v>15</v>
      </c>
      <c r="B176">
        <v>50</v>
      </c>
      <c r="C176">
        <v>61.7</v>
      </c>
      <c r="D176">
        <v>-2.1499999999999901</v>
      </c>
      <c r="E176">
        <v>-3.3672670321064899E-2</v>
      </c>
      <c r="F176">
        <v>11</v>
      </c>
      <c r="G176" t="s">
        <v>148</v>
      </c>
      <c r="H176" s="1">
        <v>46007</v>
      </c>
      <c r="I176" t="s">
        <v>29</v>
      </c>
      <c r="J176">
        <v>169375708</v>
      </c>
      <c r="K176">
        <v>2030642211.0479701</v>
      </c>
      <c r="L176">
        <v>0.79183673469387705</v>
      </c>
      <c r="M176">
        <v>137575824.70753399</v>
      </c>
      <c r="N176">
        <v>967267919.58558095</v>
      </c>
      <c r="O176">
        <v>0.79183673469387705</v>
      </c>
    </row>
    <row r="177" spans="1:15" x14ac:dyDescent="0.25">
      <c r="A177" t="s">
        <v>15</v>
      </c>
      <c r="B177">
        <v>50</v>
      </c>
      <c r="C177">
        <v>61.65</v>
      </c>
      <c r="D177">
        <v>-2.2000000000000002</v>
      </c>
      <c r="E177">
        <v>-3.4455755677368798E-2</v>
      </c>
      <c r="F177">
        <v>10</v>
      </c>
      <c r="G177" t="s">
        <v>149</v>
      </c>
      <c r="H177" s="1">
        <v>45975</v>
      </c>
      <c r="I177" t="s">
        <v>22</v>
      </c>
      <c r="J177">
        <v>223192943</v>
      </c>
      <c r="K177">
        <v>1722686378.3206999</v>
      </c>
      <c r="L177">
        <v>0.66938775510203996</v>
      </c>
      <c r="M177">
        <v>84574310.308327705</v>
      </c>
      <c r="N177">
        <v>717130056.48097205</v>
      </c>
      <c r="O177">
        <v>0.57959183673469306</v>
      </c>
    </row>
    <row r="178" spans="1:15" x14ac:dyDescent="0.25">
      <c r="A178" t="s">
        <v>15</v>
      </c>
      <c r="B178">
        <v>50</v>
      </c>
      <c r="C178">
        <v>61.65</v>
      </c>
      <c r="D178">
        <v>-2.2000000000000002</v>
      </c>
      <c r="E178">
        <v>-3.4455755677368798E-2</v>
      </c>
      <c r="F178">
        <v>10</v>
      </c>
      <c r="G178" t="s">
        <v>150</v>
      </c>
      <c r="H178" s="1">
        <v>45988</v>
      </c>
      <c r="I178" t="s">
        <v>29</v>
      </c>
      <c r="J178">
        <v>53852335</v>
      </c>
      <c r="K178">
        <v>1722686378.3206999</v>
      </c>
      <c r="L178">
        <v>0.66938775510203996</v>
      </c>
      <c r="M178">
        <v>27875716.7462276</v>
      </c>
      <c r="N178">
        <v>717130056.48097205</v>
      </c>
      <c r="O178">
        <v>0.57959183673469306</v>
      </c>
    </row>
    <row r="179" spans="1:15" x14ac:dyDescent="0.25">
      <c r="A179" t="s">
        <v>15</v>
      </c>
      <c r="B179">
        <v>50</v>
      </c>
      <c r="C179">
        <v>61.65</v>
      </c>
      <c r="D179">
        <v>-2.2000000000000002</v>
      </c>
      <c r="E179">
        <v>-3.4455755677368798E-2</v>
      </c>
      <c r="F179">
        <v>10</v>
      </c>
      <c r="G179" t="s">
        <v>150</v>
      </c>
      <c r="H179" s="1">
        <v>45993</v>
      </c>
      <c r="I179" t="s">
        <v>29</v>
      </c>
      <c r="J179">
        <v>43152711</v>
      </c>
      <c r="K179">
        <v>1722686378.3206999</v>
      </c>
      <c r="L179">
        <v>0.66938775510203996</v>
      </c>
      <c r="M179">
        <v>24784724.069681201</v>
      </c>
      <c r="N179">
        <v>717130056.48097205</v>
      </c>
      <c r="O179">
        <v>0.57959183673469306</v>
      </c>
    </row>
    <row r="180" spans="1:15" x14ac:dyDescent="0.25">
      <c r="A180" t="s">
        <v>15</v>
      </c>
      <c r="B180">
        <v>50</v>
      </c>
      <c r="C180">
        <v>61.6</v>
      </c>
      <c r="D180">
        <v>-2.25</v>
      </c>
      <c r="E180">
        <v>-3.5238841033672599E-2</v>
      </c>
      <c r="F180">
        <v>8</v>
      </c>
      <c r="G180" t="s">
        <v>151</v>
      </c>
      <c r="H180" s="1">
        <v>45939</v>
      </c>
      <c r="I180" t="s">
        <v>20</v>
      </c>
      <c r="J180">
        <v>76478634</v>
      </c>
      <c r="K180">
        <v>1524555048.2196901</v>
      </c>
      <c r="L180">
        <v>0.57959183673469306</v>
      </c>
      <c r="M180">
        <v>12614270.3210131</v>
      </c>
      <c r="N180">
        <v>610120884.59498596</v>
      </c>
      <c r="O180">
        <v>0.477551020408163</v>
      </c>
    </row>
    <row r="181" spans="1:15" x14ac:dyDescent="0.25">
      <c r="A181" t="s">
        <v>15</v>
      </c>
      <c r="B181">
        <v>50</v>
      </c>
      <c r="C181">
        <v>61.55</v>
      </c>
      <c r="D181">
        <v>-2.2999999999999998</v>
      </c>
      <c r="E181">
        <v>-3.6021926389976498E-2</v>
      </c>
      <c r="F181">
        <v>8</v>
      </c>
      <c r="G181" t="s">
        <v>152</v>
      </c>
      <c r="H181" s="1">
        <v>45981</v>
      </c>
      <c r="I181" t="s">
        <v>22</v>
      </c>
      <c r="J181">
        <v>84027889</v>
      </c>
      <c r="K181">
        <v>1524555048.2196901</v>
      </c>
      <c r="L181">
        <v>0.57959183673469306</v>
      </c>
      <c r="M181">
        <v>36575263.050767101</v>
      </c>
      <c r="N181">
        <v>610120884.59498596</v>
      </c>
      <c r="O181">
        <v>0.477551020408163</v>
      </c>
    </row>
    <row r="182" spans="1:15" x14ac:dyDescent="0.25">
      <c r="A182" t="s">
        <v>15</v>
      </c>
      <c r="B182">
        <v>50</v>
      </c>
      <c r="C182">
        <v>61.55</v>
      </c>
      <c r="D182">
        <v>-2.2999999999999998</v>
      </c>
      <c r="E182">
        <v>-3.6021926389976498E-2</v>
      </c>
      <c r="F182">
        <v>8</v>
      </c>
      <c r="G182" t="s">
        <v>153</v>
      </c>
      <c r="H182" s="1">
        <v>46009</v>
      </c>
      <c r="I182" t="s">
        <v>29</v>
      </c>
      <c r="J182">
        <v>117973409</v>
      </c>
      <c r="K182">
        <v>1524555048.2196901</v>
      </c>
      <c r="L182">
        <v>0.57959183673469306</v>
      </c>
      <c r="M182">
        <v>102701817.658914</v>
      </c>
      <c r="N182">
        <v>610120884.59498596</v>
      </c>
      <c r="O182">
        <v>0.477551020408163</v>
      </c>
    </row>
    <row r="183" spans="1:15" x14ac:dyDescent="0.25">
      <c r="A183" t="s">
        <v>15</v>
      </c>
      <c r="B183">
        <v>50</v>
      </c>
      <c r="C183">
        <v>61.5</v>
      </c>
      <c r="D183">
        <v>-2.35</v>
      </c>
      <c r="E183">
        <v>-3.68050117462803E-2</v>
      </c>
      <c r="F183">
        <v>8</v>
      </c>
      <c r="G183" t="s">
        <v>154</v>
      </c>
      <c r="H183" s="1">
        <v>45939</v>
      </c>
      <c r="I183" t="s">
        <v>29</v>
      </c>
      <c r="J183">
        <v>76478634</v>
      </c>
      <c r="K183">
        <v>1461645048.94696</v>
      </c>
      <c r="L183">
        <v>0.52653061224489695</v>
      </c>
      <c r="M183">
        <v>12614270.3210131</v>
      </c>
      <c r="N183">
        <v>499183861.03332603</v>
      </c>
      <c r="O183">
        <v>0.36734693877551</v>
      </c>
    </row>
    <row r="184" spans="1:15" x14ac:dyDescent="0.25">
      <c r="A184" t="s">
        <v>15</v>
      </c>
      <c r="B184">
        <v>50</v>
      </c>
      <c r="C184">
        <v>61.5</v>
      </c>
      <c r="D184">
        <v>-2.35</v>
      </c>
      <c r="E184">
        <v>-3.68050117462803E-2</v>
      </c>
      <c r="F184">
        <v>8</v>
      </c>
      <c r="G184" t="s">
        <v>155</v>
      </c>
      <c r="H184" s="1">
        <v>45987</v>
      </c>
      <c r="I184" t="s">
        <v>17</v>
      </c>
      <c r="J184">
        <v>75793554</v>
      </c>
      <c r="K184">
        <v>1461645048.94696</v>
      </c>
      <c r="L184">
        <v>0.52653061224489695</v>
      </c>
      <c r="M184">
        <v>37896777</v>
      </c>
      <c r="N184">
        <v>499183861.03332603</v>
      </c>
      <c r="O184">
        <v>0.36734693877551</v>
      </c>
    </row>
    <row r="185" spans="1:15" x14ac:dyDescent="0.25">
      <c r="A185" t="s">
        <v>15</v>
      </c>
      <c r="B185">
        <v>50</v>
      </c>
      <c r="C185">
        <v>61.5</v>
      </c>
      <c r="D185">
        <v>-2.35</v>
      </c>
      <c r="E185">
        <v>-3.68050117462803E-2</v>
      </c>
      <c r="F185">
        <v>8</v>
      </c>
      <c r="G185" t="s">
        <v>156</v>
      </c>
      <c r="H185" s="1">
        <v>45992</v>
      </c>
      <c r="I185" t="s">
        <v>20</v>
      </c>
      <c r="J185">
        <v>103003085</v>
      </c>
      <c r="K185">
        <v>1461645048.94696</v>
      </c>
      <c r="L185">
        <v>0.52653061224489695</v>
      </c>
      <c r="M185">
        <v>57144539.322404601</v>
      </c>
      <c r="N185">
        <v>499183861.03332603</v>
      </c>
      <c r="O185">
        <v>0.36734693877551</v>
      </c>
    </row>
    <row r="186" spans="1:15" x14ac:dyDescent="0.25">
      <c r="A186" t="s">
        <v>15</v>
      </c>
      <c r="B186">
        <v>50</v>
      </c>
      <c r="C186">
        <v>61.4</v>
      </c>
      <c r="D186">
        <v>-2.4500000000000002</v>
      </c>
      <c r="E186">
        <v>-3.8371182458888001E-2</v>
      </c>
      <c r="F186">
        <v>7</v>
      </c>
      <c r="G186" t="s">
        <v>157</v>
      </c>
      <c r="H186" s="1">
        <v>45975</v>
      </c>
      <c r="I186" t="s">
        <v>29</v>
      </c>
      <c r="J186">
        <v>223192943</v>
      </c>
      <c r="K186">
        <v>1291692528.94696</v>
      </c>
      <c r="L186">
        <v>0.40204081632652999</v>
      </c>
      <c r="M186">
        <v>84574310.308327705</v>
      </c>
      <c r="N186">
        <v>471152149.20885199</v>
      </c>
      <c r="O186">
        <v>0.32857142857142801</v>
      </c>
    </row>
    <row r="187" spans="1:15" x14ac:dyDescent="0.25">
      <c r="A187" t="s">
        <v>15</v>
      </c>
      <c r="B187">
        <v>50</v>
      </c>
      <c r="C187">
        <v>61.4</v>
      </c>
      <c r="D187">
        <v>-2.4500000000000002</v>
      </c>
      <c r="E187">
        <v>-3.8371182458888001E-2</v>
      </c>
      <c r="F187">
        <v>7</v>
      </c>
      <c r="G187" t="s">
        <v>157</v>
      </c>
      <c r="H187" s="1">
        <v>45992</v>
      </c>
      <c r="I187" t="s">
        <v>29</v>
      </c>
      <c r="J187">
        <v>103003085</v>
      </c>
      <c r="K187">
        <v>1291692528.94696</v>
      </c>
      <c r="L187">
        <v>0.40204081632652999</v>
      </c>
      <c r="M187">
        <v>57144539.322404601</v>
      </c>
      <c r="N187">
        <v>471152149.20885199</v>
      </c>
      <c r="O187">
        <v>0.32857142857142801</v>
      </c>
    </row>
    <row r="188" spans="1:15" x14ac:dyDescent="0.25">
      <c r="A188" t="s">
        <v>15</v>
      </c>
      <c r="B188">
        <v>50</v>
      </c>
      <c r="C188">
        <v>61.35</v>
      </c>
      <c r="D188">
        <v>-2.5</v>
      </c>
      <c r="E188">
        <v>-3.9154267815191802E-2</v>
      </c>
      <c r="F188">
        <v>5</v>
      </c>
      <c r="G188" t="s">
        <v>158</v>
      </c>
      <c r="H188" s="1">
        <v>45981</v>
      </c>
      <c r="I188" t="s">
        <v>29</v>
      </c>
      <c r="J188">
        <v>84027889</v>
      </c>
      <c r="K188">
        <v>658028306.58333194</v>
      </c>
      <c r="L188">
        <v>0.13673469387755099</v>
      </c>
      <c r="M188">
        <v>36575263.050767101</v>
      </c>
      <c r="N188">
        <v>198104366.18782499</v>
      </c>
      <c r="O188">
        <v>0.128571428571428</v>
      </c>
    </row>
    <row r="189" spans="1:15" x14ac:dyDescent="0.25">
      <c r="A189" t="s">
        <v>15</v>
      </c>
      <c r="B189">
        <v>50</v>
      </c>
      <c r="C189">
        <v>61.35</v>
      </c>
      <c r="D189">
        <v>-2.5</v>
      </c>
      <c r="E189">
        <v>-3.9154267815191802E-2</v>
      </c>
      <c r="F189">
        <v>5</v>
      </c>
      <c r="G189" t="s">
        <v>159</v>
      </c>
      <c r="H189" s="1">
        <v>45987</v>
      </c>
      <c r="I189" t="s">
        <v>20</v>
      </c>
      <c r="J189">
        <v>75793554</v>
      </c>
      <c r="K189">
        <v>658028306.58333194</v>
      </c>
      <c r="L189">
        <v>0.13673469387755099</v>
      </c>
      <c r="M189">
        <v>37896777</v>
      </c>
      <c r="N189">
        <v>198104366.18782499</v>
      </c>
      <c r="O189">
        <v>0.128571428571428</v>
      </c>
    </row>
    <row r="190" spans="1:15" x14ac:dyDescent="0.25">
      <c r="A190" t="s">
        <v>15</v>
      </c>
      <c r="B190">
        <v>50</v>
      </c>
      <c r="C190">
        <v>61.3</v>
      </c>
      <c r="D190">
        <v>-2.5499999999999998</v>
      </c>
      <c r="E190">
        <v>-3.9937353171495701E-2</v>
      </c>
      <c r="F190">
        <v>5</v>
      </c>
      <c r="G190" t="s">
        <v>160</v>
      </c>
      <c r="H190" s="1">
        <v>45979</v>
      </c>
      <c r="I190" t="s">
        <v>22</v>
      </c>
      <c r="J190">
        <v>264956405</v>
      </c>
      <c r="K190">
        <v>782938229.91666603</v>
      </c>
      <c r="L190">
        <v>0.17346938775510201</v>
      </c>
      <c r="M190">
        <v>107605737.445591</v>
      </c>
      <c r="N190">
        <v>244751331.882139</v>
      </c>
      <c r="O190">
        <v>0.16938775510203999</v>
      </c>
    </row>
    <row r="191" spans="1:15" x14ac:dyDescent="0.25">
      <c r="A191" t="s">
        <v>15</v>
      </c>
      <c r="B191">
        <v>50</v>
      </c>
      <c r="C191">
        <v>61.3</v>
      </c>
      <c r="D191">
        <v>-2.5499999999999998</v>
      </c>
      <c r="E191">
        <v>-3.9937353171495701E-2</v>
      </c>
      <c r="F191">
        <v>5</v>
      </c>
      <c r="G191" t="s">
        <v>161</v>
      </c>
      <c r="H191" s="1">
        <v>45979</v>
      </c>
      <c r="I191" t="s">
        <v>17</v>
      </c>
      <c r="J191">
        <v>264956405</v>
      </c>
      <c r="K191">
        <v>782938229.91666603</v>
      </c>
      <c r="L191">
        <v>0.17346938775510201</v>
      </c>
      <c r="M191">
        <v>107605737.445591</v>
      </c>
      <c r="N191">
        <v>244751331.882139</v>
      </c>
      <c r="O191">
        <v>0.16938775510203999</v>
      </c>
    </row>
    <row r="192" spans="1:15" x14ac:dyDescent="0.25">
      <c r="A192" t="s">
        <v>15</v>
      </c>
      <c r="B192">
        <v>50</v>
      </c>
      <c r="C192">
        <v>61.15</v>
      </c>
      <c r="D192">
        <v>-2.7</v>
      </c>
      <c r="E192">
        <v>-4.2286609240407197E-2</v>
      </c>
      <c r="F192">
        <v>6</v>
      </c>
      <c r="G192" t="s">
        <v>162</v>
      </c>
      <c r="H192" s="1">
        <v>45938</v>
      </c>
      <c r="I192" t="s">
        <v>20</v>
      </c>
      <c r="J192">
        <v>119706336</v>
      </c>
      <c r="K192">
        <v>1000586113.55303</v>
      </c>
      <c r="L192">
        <v>0.27755102040816299</v>
      </c>
      <c r="M192">
        <v>19071622.8382813</v>
      </c>
      <c r="N192">
        <v>279427009.76992297</v>
      </c>
      <c r="O192">
        <v>0.20408163265306101</v>
      </c>
    </row>
    <row r="193" spans="1:15" x14ac:dyDescent="0.25">
      <c r="A193" t="s">
        <v>15</v>
      </c>
      <c r="B193">
        <v>50</v>
      </c>
      <c r="C193">
        <v>61.15</v>
      </c>
      <c r="D193">
        <v>-2.7</v>
      </c>
      <c r="E193">
        <v>-4.2286609240407197E-2</v>
      </c>
      <c r="F193">
        <v>6</v>
      </c>
      <c r="G193" t="s">
        <v>163</v>
      </c>
      <c r="H193" s="1">
        <v>45938</v>
      </c>
      <c r="I193" t="s">
        <v>17</v>
      </c>
      <c r="J193">
        <v>119706336</v>
      </c>
      <c r="K193">
        <v>1000586113.55303</v>
      </c>
      <c r="L193">
        <v>0.27755102040816299</v>
      </c>
      <c r="M193">
        <v>19071622.8382813</v>
      </c>
      <c r="N193">
        <v>279427009.76992297</v>
      </c>
      <c r="O193">
        <v>0.20408163265306101</v>
      </c>
    </row>
    <row r="194" spans="1:15" x14ac:dyDescent="0.25">
      <c r="A194" t="s">
        <v>15</v>
      </c>
      <c r="B194">
        <v>50</v>
      </c>
      <c r="C194">
        <v>61.1</v>
      </c>
      <c r="D194">
        <v>-2.75</v>
      </c>
      <c r="E194">
        <v>-4.3069694596710999E-2</v>
      </c>
      <c r="F194">
        <v>6</v>
      </c>
      <c r="G194" t="s">
        <v>164</v>
      </c>
      <c r="H194" s="1">
        <v>45987</v>
      </c>
      <c r="I194" t="s">
        <v>22</v>
      </c>
      <c r="J194">
        <v>75793554</v>
      </c>
      <c r="K194">
        <v>1000586113.55303</v>
      </c>
      <c r="L194">
        <v>0.27755102040816299</v>
      </c>
      <c r="M194">
        <v>37896777</v>
      </c>
      <c r="N194">
        <v>279427009.76992297</v>
      </c>
      <c r="O194">
        <v>0.20408163265306101</v>
      </c>
    </row>
    <row r="195" spans="1:15" x14ac:dyDescent="0.25">
      <c r="A195" t="s">
        <v>15</v>
      </c>
      <c r="B195">
        <v>50</v>
      </c>
      <c r="C195">
        <v>61</v>
      </c>
      <c r="D195">
        <v>-2.85</v>
      </c>
      <c r="E195">
        <v>-4.4635865309318699E-2</v>
      </c>
      <c r="F195">
        <v>7</v>
      </c>
      <c r="G195" t="s">
        <v>165</v>
      </c>
      <c r="H195" s="1">
        <v>45937</v>
      </c>
      <c r="I195" t="s">
        <v>22</v>
      </c>
      <c r="J195">
        <v>138001575</v>
      </c>
      <c r="K195">
        <v>1198879380.6958799</v>
      </c>
      <c r="L195">
        <v>0.344897959183673</v>
      </c>
      <c r="M195">
        <v>21237483.5117561</v>
      </c>
      <c r="N195">
        <v>313286582.96498501</v>
      </c>
      <c r="O195">
        <v>0.25102040816326499</v>
      </c>
    </row>
    <row r="196" spans="1:15" x14ac:dyDescent="0.25">
      <c r="A196" t="s">
        <v>15</v>
      </c>
      <c r="B196">
        <v>50</v>
      </c>
      <c r="C196">
        <v>61</v>
      </c>
      <c r="D196">
        <v>-2.85</v>
      </c>
      <c r="E196">
        <v>-4.4635865309318699E-2</v>
      </c>
      <c r="F196">
        <v>7</v>
      </c>
      <c r="G196" t="s">
        <v>165</v>
      </c>
      <c r="H196" s="1">
        <v>45938</v>
      </c>
      <c r="I196" t="s">
        <v>22</v>
      </c>
      <c r="J196">
        <v>119706336</v>
      </c>
      <c r="K196">
        <v>1198879380.6958799</v>
      </c>
      <c r="L196">
        <v>0.344897959183673</v>
      </c>
      <c r="M196">
        <v>19071622.8382813</v>
      </c>
      <c r="N196">
        <v>313286582.96498501</v>
      </c>
      <c r="O196">
        <v>0.25102040816326499</v>
      </c>
    </row>
    <row r="197" spans="1:15" x14ac:dyDescent="0.25">
      <c r="A197" t="s">
        <v>15</v>
      </c>
      <c r="B197">
        <v>50</v>
      </c>
      <c r="C197">
        <v>61</v>
      </c>
      <c r="D197">
        <v>-2.85</v>
      </c>
      <c r="E197">
        <v>-4.4635865309318699E-2</v>
      </c>
      <c r="F197">
        <v>7</v>
      </c>
      <c r="G197" t="s">
        <v>166</v>
      </c>
      <c r="H197" s="1">
        <v>45943</v>
      </c>
      <c r="I197" t="s">
        <v>20</v>
      </c>
      <c r="J197">
        <v>277610574</v>
      </c>
      <c r="K197">
        <v>1198879380.6958799</v>
      </c>
      <c r="L197">
        <v>0.344897959183673</v>
      </c>
      <c r="M197">
        <v>47403402.473086901</v>
      </c>
      <c r="N197">
        <v>313286582.96498501</v>
      </c>
      <c r="O197">
        <v>0.25102040816326499</v>
      </c>
    </row>
    <row r="198" spans="1:15" x14ac:dyDescent="0.25">
      <c r="A198" t="s">
        <v>15</v>
      </c>
      <c r="B198">
        <v>50</v>
      </c>
      <c r="C198">
        <v>61</v>
      </c>
      <c r="D198">
        <v>-2.85</v>
      </c>
      <c r="E198">
        <v>-4.4635865309318699E-2</v>
      </c>
      <c r="F198">
        <v>7</v>
      </c>
      <c r="G198" t="s">
        <v>167</v>
      </c>
      <c r="H198" s="1">
        <v>45943</v>
      </c>
      <c r="I198" t="s">
        <v>17</v>
      </c>
      <c r="J198">
        <v>277610574</v>
      </c>
      <c r="K198">
        <v>1198879380.6958799</v>
      </c>
      <c r="L198">
        <v>0.344897959183673</v>
      </c>
      <c r="M198">
        <v>47403402.473086901</v>
      </c>
      <c r="N198">
        <v>313286582.96498501</v>
      </c>
      <c r="O198">
        <v>0.25102040816326499</v>
      </c>
    </row>
    <row r="199" spans="1:15" x14ac:dyDescent="0.25">
      <c r="A199" t="s">
        <v>15</v>
      </c>
      <c r="B199">
        <v>50</v>
      </c>
      <c r="C199">
        <v>61</v>
      </c>
      <c r="D199">
        <v>-2.85</v>
      </c>
      <c r="E199">
        <v>-4.4635865309318699E-2</v>
      </c>
      <c r="F199">
        <v>7</v>
      </c>
      <c r="G199" t="s">
        <v>165</v>
      </c>
      <c r="H199" s="1">
        <v>45945</v>
      </c>
      <c r="I199" t="s">
        <v>22</v>
      </c>
      <c r="J199">
        <v>101918261</v>
      </c>
      <c r="K199">
        <v>1198879380.6958799</v>
      </c>
      <c r="L199">
        <v>0.344897959183673</v>
      </c>
      <c r="M199">
        <v>18652133.510719098</v>
      </c>
      <c r="N199">
        <v>313286582.96498501</v>
      </c>
      <c r="O199">
        <v>0.25102040816326499</v>
      </c>
    </row>
    <row r="200" spans="1:15" x14ac:dyDescent="0.25">
      <c r="A200" t="s">
        <v>15</v>
      </c>
      <c r="B200">
        <v>50</v>
      </c>
      <c r="C200">
        <v>61</v>
      </c>
      <c r="D200">
        <v>-2.85</v>
      </c>
      <c r="E200">
        <v>-4.4635865309318699E-2</v>
      </c>
      <c r="F200">
        <v>7</v>
      </c>
      <c r="G200" t="s">
        <v>168</v>
      </c>
      <c r="H200" s="1">
        <v>45987</v>
      </c>
      <c r="I200" t="s">
        <v>29</v>
      </c>
      <c r="J200">
        <v>75793554</v>
      </c>
      <c r="K200">
        <v>1198879380.6958799</v>
      </c>
      <c r="L200">
        <v>0.344897959183673</v>
      </c>
      <c r="M200">
        <v>37896777</v>
      </c>
      <c r="N200">
        <v>313286582.96498501</v>
      </c>
      <c r="O200">
        <v>0.25102040816326499</v>
      </c>
    </row>
    <row r="201" spans="1:15" x14ac:dyDescent="0.25">
      <c r="A201" t="s">
        <v>15</v>
      </c>
      <c r="B201">
        <v>50</v>
      </c>
      <c r="C201">
        <v>60.9</v>
      </c>
      <c r="D201">
        <v>-2.95</v>
      </c>
      <c r="E201">
        <v>-4.62020360219264E-2</v>
      </c>
      <c r="F201">
        <v>6</v>
      </c>
      <c r="G201" t="s">
        <v>169</v>
      </c>
      <c r="H201" s="1">
        <v>45937</v>
      </c>
      <c r="I201" t="s">
        <v>29</v>
      </c>
      <c r="J201">
        <v>138001575</v>
      </c>
      <c r="K201">
        <v>1047292272.6958801</v>
      </c>
      <c r="L201">
        <v>0.29387755102040802</v>
      </c>
      <c r="M201">
        <v>21237483.5117561</v>
      </c>
      <c r="N201">
        <v>237493028.96498501</v>
      </c>
      <c r="O201">
        <v>0.155102040816326</v>
      </c>
    </row>
    <row r="202" spans="1:15" x14ac:dyDescent="0.25">
      <c r="A202" t="s">
        <v>15</v>
      </c>
      <c r="B202">
        <v>50</v>
      </c>
      <c r="C202">
        <v>60.75</v>
      </c>
      <c r="D202">
        <v>-3.1</v>
      </c>
      <c r="E202">
        <v>-4.8551292090837903E-2</v>
      </c>
      <c r="F202">
        <v>6</v>
      </c>
      <c r="G202" t="s">
        <v>170</v>
      </c>
      <c r="H202" s="1">
        <v>45986</v>
      </c>
      <c r="I202" t="s">
        <v>17</v>
      </c>
      <c r="J202">
        <v>64411018</v>
      </c>
      <c r="K202">
        <v>973884177.79204297</v>
      </c>
      <c r="L202">
        <v>0.24285714285714199</v>
      </c>
      <c r="M202">
        <v>31108471.134615999</v>
      </c>
      <c r="N202">
        <v>258805360.93623799</v>
      </c>
      <c r="O202">
        <v>0.181632653061224</v>
      </c>
    </row>
    <row r="203" spans="1:15" x14ac:dyDescent="0.25">
      <c r="A203" t="s">
        <v>15</v>
      </c>
      <c r="B203">
        <v>50</v>
      </c>
      <c r="C203">
        <v>60.7</v>
      </c>
      <c r="D203">
        <v>-3.1499999999999901</v>
      </c>
      <c r="E203">
        <v>-4.9334377447141697E-2</v>
      </c>
      <c r="F203">
        <v>6</v>
      </c>
      <c r="G203" t="s">
        <v>171</v>
      </c>
      <c r="H203" s="1">
        <v>45944</v>
      </c>
      <c r="I203" t="s">
        <v>20</v>
      </c>
      <c r="J203">
        <v>163441296</v>
      </c>
      <c r="K203">
        <v>973884177.79204297</v>
      </c>
      <c r="L203">
        <v>0.24285714285714199</v>
      </c>
      <c r="M203">
        <v>28892612.181879401</v>
      </c>
      <c r="N203">
        <v>258805360.93623799</v>
      </c>
      <c r="O203">
        <v>0.181632653061224</v>
      </c>
    </row>
    <row r="204" spans="1:15" x14ac:dyDescent="0.25">
      <c r="A204" t="s">
        <v>15</v>
      </c>
      <c r="B204">
        <v>50</v>
      </c>
      <c r="C204">
        <v>60.7</v>
      </c>
      <c r="D204">
        <v>-3.1499999999999901</v>
      </c>
      <c r="E204">
        <v>-4.9334377447141697E-2</v>
      </c>
      <c r="F204">
        <v>6</v>
      </c>
      <c r="G204" t="s">
        <v>172</v>
      </c>
      <c r="H204" s="1">
        <v>45986</v>
      </c>
      <c r="I204" t="s">
        <v>22</v>
      </c>
      <c r="J204">
        <v>64411018</v>
      </c>
      <c r="K204">
        <v>973884177.79204297</v>
      </c>
      <c r="L204">
        <v>0.24285714285714199</v>
      </c>
      <c r="M204">
        <v>31108471.134615999</v>
      </c>
      <c r="N204">
        <v>258805360.93623799</v>
      </c>
      <c r="O204">
        <v>0.181632653061224</v>
      </c>
    </row>
    <row r="205" spans="1:15" x14ac:dyDescent="0.25">
      <c r="A205" t="s">
        <v>15</v>
      </c>
      <c r="B205">
        <v>50</v>
      </c>
      <c r="C205">
        <v>60.65</v>
      </c>
      <c r="D205">
        <v>-3.2</v>
      </c>
      <c r="E205">
        <v>-5.0117462803445603E-2</v>
      </c>
      <c r="F205">
        <v>6</v>
      </c>
      <c r="G205" t="s">
        <v>173</v>
      </c>
      <c r="H205" s="1">
        <v>45944</v>
      </c>
      <c r="I205" t="s">
        <v>29</v>
      </c>
      <c r="J205">
        <v>163441296</v>
      </c>
      <c r="K205">
        <v>973884177.79204297</v>
      </c>
      <c r="L205">
        <v>0.24285714285714199</v>
      </c>
      <c r="M205">
        <v>28892612.181879401</v>
      </c>
      <c r="N205">
        <v>258805360.93623799</v>
      </c>
      <c r="O205">
        <v>0.181632653061224</v>
      </c>
    </row>
    <row r="206" spans="1:15" x14ac:dyDescent="0.25">
      <c r="A206" t="s">
        <v>15</v>
      </c>
      <c r="B206">
        <v>50</v>
      </c>
      <c r="C206">
        <v>60.6</v>
      </c>
      <c r="D206">
        <v>-3.25</v>
      </c>
      <c r="E206">
        <v>-5.0900548159749398E-2</v>
      </c>
      <c r="F206">
        <v>5</v>
      </c>
      <c r="G206" t="s">
        <v>174</v>
      </c>
      <c r="H206" s="1">
        <v>45938</v>
      </c>
      <c r="I206" t="s">
        <v>29</v>
      </c>
      <c r="J206">
        <v>119706336</v>
      </c>
      <c r="K206">
        <v>864923313.79204297</v>
      </c>
      <c r="L206">
        <v>0.20612244897959101</v>
      </c>
      <c r="M206">
        <v>19071622.8382813</v>
      </c>
      <c r="N206">
        <v>239543619.48165199</v>
      </c>
      <c r="O206">
        <v>0.161224489795918</v>
      </c>
    </row>
    <row r="207" spans="1:15" x14ac:dyDescent="0.25">
      <c r="A207" t="s">
        <v>15</v>
      </c>
      <c r="B207">
        <v>50</v>
      </c>
      <c r="C207">
        <v>60.6</v>
      </c>
      <c r="D207">
        <v>-3.25</v>
      </c>
      <c r="E207">
        <v>-5.0900548159749398E-2</v>
      </c>
      <c r="F207">
        <v>5</v>
      </c>
      <c r="G207" t="s">
        <v>174</v>
      </c>
      <c r="H207" s="1">
        <v>45945</v>
      </c>
      <c r="I207" t="s">
        <v>29</v>
      </c>
      <c r="J207">
        <v>101918261</v>
      </c>
      <c r="K207">
        <v>864923313.79204297</v>
      </c>
      <c r="L207">
        <v>0.20612244897959101</v>
      </c>
      <c r="M207">
        <v>18652133.510719098</v>
      </c>
      <c r="N207">
        <v>239543619.48165199</v>
      </c>
      <c r="O207">
        <v>0.161224489795918</v>
      </c>
    </row>
    <row r="208" spans="1:15" x14ac:dyDescent="0.25">
      <c r="A208" t="s">
        <v>15</v>
      </c>
      <c r="B208">
        <v>50</v>
      </c>
      <c r="C208">
        <v>60.5</v>
      </c>
      <c r="D208">
        <v>-3.35</v>
      </c>
      <c r="E208">
        <v>-5.2466718872357099E-2</v>
      </c>
      <c r="F208">
        <v>4</v>
      </c>
      <c r="G208" t="s">
        <v>175</v>
      </c>
      <c r="H208" s="1">
        <v>45980</v>
      </c>
      <c r="I208" t="s">
        <v>17</v>
      </c>
      <c r="J208">
        <v>151383859</v>
      </c>
      <c r="K208">
        <v>814649977.65567696</v>
      </c>
      <c r="L208">
        <v>0.185714285714285</v>
      </c>
      <c r="M208">
        <v>63649072.180186801</v>
      </c>
      <c r="N208">
        <v>295406283.96857899</v>
      </c>
      <c r="O208">
        <v>0.21836734693877499</v>
      </c>
    </row>
    <row r="209" spans="1:15" x14ac:dyDescent="0.25">
      <c r="A209" t="s">
        <v>15</v>
      </c>
      <c r="B209">
        <v>50</v>
      </c>
      <c r="C209">
        <v>60.45</v>
      </c>
      <c r="D209">
        <v>-3.3999999999999901</v>
      </c>
      <c r="E209">
        <v>-5.3249804228660901E-2</v>
      </c>
      <c r="F209">
        <v>4</v>
      </c>
      <c r="G209" t="s">
        <v>176</v>
      </c>
      <c r="H209" s="1">
        <v>45979</v>
      </c>
      <c r="I209" t="s">
        <v>20</v>
      </c>
      <c r="J209">
        <v>264956405</v>
      </c>
      <c r="K209">
        <v>814649977.65567696</v>
      </c>
      <c r="L209">
        <v>0.185714285714285</v>
      </c>
      <c r="M209">
        <v>107605737.445591</v>
      </c>
      <c r="N209">
        <v>295406283.96857899</v>
      </c>
      <c r="O209">
        <v>0.21836734693877499</v>
      </c>
    </row>
    <row r="210" spans="1:15" x14ac:dyDescent="0.25">
      <c r="A210" t="s">
        <v>15</v>
      </c>
      <c r="B210">
        <v>50</v>
      </c>
      <c r="C210">
        <v>60.35</v>
      </c>
      <c r="D210">
        <v>-3.5</v>
      </c>
      <c r="E210">
        <v>-5.4815974941268497E-2</v>
      </c>
      <c r="F210">
        <v>4</v>
      </c>
      <c r="G210" t="s">
        <v>176</v>
      </c>
      <c r="H210" s="1">
        <v>45986</v>
      </c>
      <c r="I210" t="s">
        <v>20</v>
      </c>
      <c r="J210">
        <v>64411018</v>
      </c>
      <c r="K210">
        <v>814649977.65567696</v>
      </c>
      <c r="L210">
        <v>0.185714285714285</v>
      </c>
      <c r="M210">
        <v>31108471.134615999</v>
      </c>
      <c r="N210">
        <v>295406283.96857899</v>
      </c>
      <c r="O210">
        <v>0.21836734693877499</v>
      </c>
    </row>
    <row r="211" spans="1:15" x14ac:dyDescent="0.25">
      <c r="A211" t="s">
        <v>15</v>
      </c>
      <c r="B211">
        <v>50</v>
      </c>
      <c r="C211">
        <v>60.3</v>
      </c>
      <c r="D211">
        <v>-3.55</v>
      </c>
      <c r="E211">
        <v>-5.55990602975725E-2</v>
      </c>
      <c r="F211">
        <v>4</v>
      </c>
      <c r="G211" t="s">
        <v>177</v>
      </c>
      <c r="H211" s="1">
        <v>45979</v>
      </c>
      <c r="I211" t="s">
        <v>29</v>
      </c>
      <c r="J211">
        <v>264956405</v>
      </c>
      <c r="K211">
        <v>814649977.65567696</v>
      </c>
      <c r="L211">
        <v>0.185714285714285</v>
      </c>
      <c r="M211">
        <v>107605737.445591</v>
      </c>
      <c r="N211">
        <v>295406283.96857899</v>
      </c>
      <c r="O211">
        <v>0.21836734693877499</v>
      </c>
    </row>
    <row r="212" spans="1:15" x14ac:dyDescent="0.25">
      <c r="A212" t="s">
        <v>15</v>
      </c>
      <c r="B212">
        <v>50</v>
      </c>
      <c r="C212">
        <v>60.15</v>
      </c>
      <c r="D212">
        <v>-3.7</v>
      </c>
      <c r="E212">
        <v>-5.7948316366483898E-2</v>
      </c>
      <c r="F212">
        <v>4</v>
      </c>
      <c r="G212" t="s">
        <v>178</v>
      </c>
      <c r="H212" s="1">
        <v>45980</v>
      </c>
      <c r="I212" t="s">
        <v>22</v>
      </c>
      <c r="J212">
        <v>151383859</v>
      </c>
      <c r="K212">
        <v>1053834324.96337</v>
      </c>
      <c r="L212">
        <v>0.31224489795918298</v>
      </c>
      <c r="M212">
        <v>63649072.180186801</v>
      </c>
      <c r="N212">
        <v>414979089.64212799</v>
      </c>
      <c r="O212">
        <v>0.31224489795918298</v>
      </c>
    </row>
    <row r="213" spans="1:15" x14ac:dyDescent="0.25">
      <c r="A213" t="s">
        <v>15</v>
      </c>
      <c r="B213">
        <v>50</v>
      </c>
      <c r="C213">
        <v>60.15</v>
      </c>
      <c r="D213">
        <v>-3.7</v>
      </c>
      <c r="E213">
        <v>-5.7948316366483898E-2</v>
      </c>
      <c r="F213">
        <v>4</v>
      </c>
      <c r="G213" t="s">
        <v>179</v>
      </c>
      <c r="H213" s="1">
        <v>45982</v>
      </c>
      <c r="I213" t="s">
        <v>17</v>
      </c>
      <c r="J213">
        <v>327691489</v>
      </c>
      <c r="K213">
        <v>1053834324.96337</v>
      </c>
      <c r="L213">
        <v>0.31224489795918298</v>
      </c>
      <c r="M213">
        <v>147666053.02744001</v>
      </c>
      <c r="N213">
        <v>414979089.64212799</v>
      </c>
      <c r="O213">
        <v>0.31224489795918298</v>
      </c>
    </row>
    <row r="214" spans="1:15" x14ac:dyDescent="0.25">
      <c r="A214" t="s">
        <v>15</v>
      </c>
      <c r="B214">
        <v>50</v>
      </c>
      <c r="C214">
        <v>60.1</v>
      </c>
      <c r="D214">
        <v>-3.75</v>
      </c>
      <c r="E214">
        <v>-5.87314017227877E-2</v>
      </c>
      <c r="F214">
        <v>6</v>
      </c>
      <c r="G214" t="s">
        <v>180</v>
      </c>
      <c r="H214" s="1">
        <v>45933</v>
      </c>
      <c r="I214" t="s">
        <v>17</v>
      </c>
      <c r="J214">
        <v>76083554</v>
      </c>
      <c r="K214">
        <v>1376636418.7362599</v>
      </c>
      <c r="L214">
        <v>0.46122448979591801</v>
      </c>
      <c r="M214">
        <v>11309887.9689367</v>
      </c>
      <c r="N214">
        <v>542538881.70457196</v>
      </c>
      <c r="O214">
        <v>0.40816326530612201</v>
      </c>
    </row>
    <row r="215" spans="1:15" x14ac:dyDescent="0.25">
      <c r="A215" t="s">
        <v>15</v>
      </c>
      <c r="B215">
        <v>50</v>
      </c>
      <c r="C215">
        <v>60.1</v>
      </c>
      <c r="D215">
        <v>-3.75</v>
      </c>
      <c r="E215">
        <v>-5.87314017227877E-2</v>
      </c>
      <c r="F215">
        <v>6</v>
      </c>
      <c r="G215" t="s">
        <v>181</v>
      </c>
      <c r="H215" s="1">
        <v>45982</v>
      </c>
      <c r="I215" t="s">
        <v>22</v>
      </c>
      <c r="J215">
        <v>327691489</v>
      </c>
      <c r="K215">
        <v>1376636418.7362599</v>
      </c>
      <c r="L215">
        <v>0.46122448979591801</v>
      </c>
      <c r="M215">
        <v>147666053.02744001</v>
      </c>
      <c r="N215">
        <v>542538881.70457196</v>
      </c>
      <c r="O215">
        <v>0.40816326530612201</v>
      </c>
    </row>
    <row r="216" spans="1:15" x14ac:dyDescent="0.25">
      <c r="A216" t="s">
        <v>15</v>
      </c>
      <c r="B216">
        <v>50</v>
      </c>
      <c r="C216">
        <v>60.1</v>
      </c>
      <c r="D216">
        <v>-3.75</v>
      </c>
      <c r="E216">
        <v>-5.87314017227877E-2</v>
      </c>
      <c r="F216">
        <v>6</v>
      </c>
      <c r="G216" t="s">
        <v>181</v>
      </c>
      <c r="H216" s="1">
        <v>45985</v>
      </c>
      <c r="I216" t="s">
        <v>22</v>
      </c>
      <c r="J216">
        <v>162722018</v>
      </c>
      <c r="K216">
        <v>1376636418.7362599</v>
      </c>
      <c r="L216">
        <v>0.46122448979591801</v>
      </c>
      <c r="M216">
        <v>75912505.621723101</v>
      </c>
      <c r="N216">
        <v>542538881.70457196</v>
      </c>
      <c r="O216">
        <v>0.40816326530612201</v>
      </c>
    </row>
    <row r="217" spans="1:15" x14ac:dyDescent="0.25">
      <c r="A217" t="s">
        <v>15</v>
      </c>
      <c r="B217">
        <v>50</v>
      </c>
      <c r="C217">
        <v>60.1</v>
      </c>
      <c r="D217">
        <v>-3.75</v>
      </c>
      <c r="E217">
        <v>-5.87314017227877E-2</v>
      </c>
      <c r="F217">
        <v>6</v>
      </c>
      <c r="G217" t="s">
        <v>180</v>
      </c>
      <c r="H217" s="1">
        <v>45985</v>
      </c>
      <c r="I217" t="s">
        <v>17</v>
      </c>
      <c r="J217">
        <v>162722018</v>
      </c>
      <c r="K217">
        <v>1376636418.7362599</v>
      </c>
      <c r="L217">
        <v>0.46122448979591801</v>
      </c>
      <c r="M217">
        <v>75912505.621723101</v>
      </c>
      <c r="N217">
        <v>542538881.70457196</v>
      </c>
      <c r="O217">
        <v>0.40816326530612201</v>
      </c>
    </row>
    <row r="218" spans="1:15" x14ac:dyDescent="0.25">
      <c r="A218" t="s">
        <v>15</v>
      </c>
      <c r="B218">
        <v>50</v>
      </c>
      <c r="C218">
        <v>60.1</v>
      </c>
      <c r="D218">
        <v>-3.75</v>
      </c>
      <c r="E218">
        <v>-5.87314017227877E-2</v>
      </c>
      <c r="F218">
        <v>6</v>
      </c>
      <c r="G218" t="s">
        <v>182</v>
      </c>
      <c r="H218" s="1">
        <v>45986</v>
      </c>
      <c r="I218" t="s">
        <v>29</v>
      </c>
      <c r="J218">
        <v>64411018</v>
      </c>
      <c r="K218">
        <v>1376636418.7362599</v>
      </c>
      <c r="L218">
        <v>0.46122448979591801</v>
      </c>
      <c r="M218">
        <v>31108471.134615999</v>
      </c>
      <c r="N218">
        <v>542538881.70457196</v>
      </c>
      <c r="O218">
        <v>0.40816326530612201</v>
      </c>
    </row>
    <row r="219" spans="1:15" x14ac:dyDescent="0.25">
      <c r="A219" t="s">
        <v>15</v>
      </c>
      <c r="B219">
        <v>50</v>
      </c>
      <c r="C219">
        <v>60.05</v>
      </c>
      <c r="D219">
        <v>-3.8</v>
      </c>
      <c r="E219">
        <v>-5.9514487079091599E-2</v>
      </c>
      <c r="F219">
        <v>5</v>
      </c>
      <c r="G219" t="s">
        <v>183</v>
      </c>
      <c r="H219" s="1">
        <v>45933</v>
      </c>
      <c r="I219" t="s">
        <v>20</v>
      </c>
      <c r="J219">
        <v>76083554</v>
      </c>
      <c r="K219">
        <v>1277542544.89011</v>
      </c>
      <c r="L219">
        <v>0.38979591836734601</v>
      </c>
      <c r="M219">
        <v>11309887.9689367</v>
      </c>
      <c r="N219">
        <v>494679695.343624</v>
      </c>
      <c r="O219">
        <v>0.35306122448979499</v>
      </c>
    </row>
    <row r="220" spans="1:15" x14ac:dyDescent="0.25">
      <c r="A220" t="s">
        <v>15</v>
      </c>
      <c r="B220">
        <v>50</v>
      </c>
      <c r="C220">
        <v>60.05</v>
      </c>
      <c r="D220">
        <v>-3.8</v>
      </c>
      <c r="E220">
        <v>-5.9514487079091599E-2</v>
      </c>
      <c r="F220">
        <v>5</v>
      </c>
      <c r="G220" t="s">
        <v>183</v>
      </c>
      <c r="H220" s="1">
        <v>45980</v>
      </c>
      <c r="I220" t="s">
        <v>20</v>
      </c>
      <c r="J220">
        <v>151383859</v>
      </c>
      <c r="K220">
        <v>1277542544.89011</v>
      </c>
      <c r="L220">
        <v>0.38979591836734601</v>
      </c>
      <c r="M220">
        <v>63649072.180186801</v>
      </c>
      <c r="N220">
        <v>494679695.343624</v>
      </c>
      <c r="O220">
        <v>0.35306122448979499</v>
      </c>
    </row>
    <row r="221" spans="1:15" x14ac:dyDescent="0.25">
      <c r="A221" t="s">
        <v>15</v>
      </c>
      <c r="B221">
        <v>50</v>
      </c>
      <c r="C221">
        <v>59.9</v>
      </c>
      <c r="D221">
        <v>-3.95</v>
      </c>
      <c r="E221">
        <v>-6.1863743148003102E-2</v>
      </c>
      <c r="F221">
        <v>5</v>
      </c>
      <c r="G221" t="s">
        <v>184</v>
      </c>
      <c r="H221" s="1">
        <v>45943</v>
      </c>
      <c r="I221" t="s">
        <v>22</v>
      </c>
      <c r="J221">
        <v>277610574</v>
      </c>
      <c r="K221">
        <v>1277542544.89011</v>
      </c>
      <c r="L221">
        <v>0.38979591836734601</v>
      </c>
      <c r="M221">
        <v>47403402.473086901</v>
      </c>
      <c r="N221">
        <v>494679695.343624</v>
      </c>
      <c r="O221">
        <v>0.35306122448979499</v>
      </c>
    </row>
    <row r="222" spans="1:15" x14ac:dyDescent="0.25">
      <c r="A222" t="s">
        <v>15</v>
      </c>
      <c r="B222">
        <v>50</v>
      </c>
      <c r="C222">
        <v>59.9</v>
      </c>
      <c r="D222">
        <v>-3.95</v>
      </c>
      <c r="E222">
        <v>-6.1863743148003102E-2</v>
      </c>
      <c r="F222">
        <v>5</v>
      </c>
      <c r="G222" t="s">
        <v>185</v>
      </c>
      <c r="H222" s="1">
        <v>45980</v>
      </c>
      <c r="I222" t="s">
        <v>29</v>
      </c>
      <c r="J222">
        <v>151383859</v>
      </c>
      <c r="K222">
        <v>1277542544.89011</v>
      </c>
      <c r="L222">
        <v>0.38979591836734601</v>
      </c>
      <c r="M222">
        <v>63649072.180186801</v>
      </c>
      <c r="N222">
        <v>494679695.343624</v>
      </c>
      <c r="O222">
        <v>0.35306122448979499</v>
      </c>
    </row>
    <row r="223" spans="1:15" x14ac:dyDescent="0.25">
      <c r="A223" t="s">
        <v>15</v>
      </c>
      <c r="B223">
        <v>50</v>
      </c>
      <c r="C223">
        <v>59.85</v>
      </c>
      <c r="D223">
        <v>-4</v>
      </c>
      <c r="E223">
        <v>-6.2646828504306903E-2</v>
      </c>
      <c r="F223">
        <v>4</v>
      </c>
      <c r="G223" t="s">
        <v>186</v>
      </c>
      <c r="H223" s="1">
        <v>45982</v>
      </c>
      <c r="I223" t="s">
        <v>20</v>
      </c>
      <c r="J223">
        <v>327691489</v>
      </c>
      <c r="K223">
        <v>1025236113.2234401</v>
      </c>
      <c r="L223">
        <v>0.287755102040816</v>
      </c>
      <c r="M223">
        <v>147666053.02744001</v>
      </c>
      <c r="N223">
        <v>388597908.37664598</v>
      </c>
      <c r="O223">
        <v>0.30408163265306098</v>
      </c>
    </row>
    <row r="224" spans="1:15" x14ac:dyDescent="0.25">
      <c r="A224" t="s">
        <v>15</v>
      </c>
      <c r="B224">
        <v>50</v>
      </c>
      <c r="C224">
        <v>59.6</v>
      </c>
      <c r="D224">
        <v>-4.25</v>
      </c>
      <c r="E224">
        <v>-6.65622552858261E-2</v>
      </c>
      <c r="F224">
        <v>4</v>
      </c>
      <c r="G224" t="s">
        <v>187</v>
      </c>
      <c r="H224" s="1">
        <v>45943</v>
      </c>
      <c r="I224" t="s">
        <v>29</v>
      </c>
      <c r="J224">
        <v>277610574</v>
      </c>
      <c r="K224">
        <v>1025236113.2234401</v>
      </c>
      <c r="L224">
        <v>0.287755102040816</v>
      </c>
      <c r="M224">
        <v>47403402.473086901</v>
      </c>
      <c r="N224">
        <v>388597908.37664598</v>
      </c>
      <c r="O224">
        <v>0.30408163265306098</v>
      </c>
    </row>
    <row r="225" spans="1:15" x14ac:dyDescent="0.25">
      <c r="A225" t="s">
        <v>15</v>
      </c>
      <c r="B225">
        <v>50</v>
      </c>
      <c r="C225">
        <v>59.55</v>
      </c>
      <c r="D225">
        <v>-4.3</v>
      </c>
      <c r="E225">
        <v>-6.7345340642130005E-2</v>
      </c>
      <c r="F225">
        <v>3</v>
      </c>
      <c r="G225" t="s">
        <v>188</v>
      </c>
      <c r="H225" s="1">
        <v>45985</v>
      </c>
      <c r="I225" t="s">
        <v>20</v>
      </c>
      <c r="J225">
        <v>162722018</v>
      </c>
      <c r="K225">
        <v>826942846.08058703</v>
      </c>
      <c r="L225">
        <v>0.19795918367346901</v>
      </c>
      <c r="M225">
        <v>75912505.621723101</v>
      </c>
      <c r="N225">
        <v>354738335.181584</v>
      </c>
      <c r="O225">
        <v>0.27959183673469301</v>
      </c>
    </row>
    <row r="226" spans="1:15" x14ac:dyDescent="0.25">
      <c r="A226" t="s">
        <v>15</v>
      </c>
      <c r="B226">
        <v>50</v>
      </c>
      <c r="C226">
        <v>59.5</v>
      </c>
      <c r="D226">
        <v>-4.3499999999999996</v>
      </c>
      <c r="E226">
        <v>-6.81284259984338E-2</v>
      </c>
      <c r="F226">
        <v>3</v>
      </c>
      <c r="G226" t="s">
        <v>189</v>
      </c>
      <c r="H226" s="1">
        <v>45982</v>
      </c>
      <c r="I226" t="s">
        <v>29</v>
      </c>
      <c r="J226">
        <v>327691489</v>
      </c>
      <c r="K226">
        <v>826942846.08058703</v>
      </c>
      <c r="L226">
        <v>0.19795918367346901</v>
      </c>
      <c r="M226">
        <v>147666053.02744001</v>
      </c>
      <c r="N226">
        <v>354738335.181584</v>
      </c>
      <c r="O226">
        <v>0.27959183673469301</v>
      </c>
    </row>
    <row r="227" spans="1:15" x14ac:dyDescent="0.25">
      <c r="A227" t="s">
        <v>15</v>
      </c>
      <c r="B227">
        <v>50</v>
      </c>
      <c r="C227">
        <v>59.45</v>
      </c>
      <c r="D227">
        <v>-4.3999999999999897</v>
      </c>
      <c r="E227">
        <v>-6.8911511354737595E-2</v>
      </c>
      <c r="F227">
        <v>2</v>
      </c>
      <c r="G227" t="s">
        <v>190</v>
      </c>
      <c r="H227" s="1">
        <v>45985</v>
      </c>
      <c r="I227" t="s">
        <v>29</v>
      </c>
      <c r="J227">
        <v>162722018</v>
      </c>
      <c r="K227">
        <v>322802093.77289402</v>
      </c>
      <c r="L227">
        <v>5.3061224489795902E-2</v>
      </c>
      <c r="M227">
        <v>75912505.621723101</v>
      </c>
      <c r="N227">
        <v>127559792.062444</v>
      </c>
      <c r="O227">
        <v>8.5714285714285701E-2</v>
      </c>
    </row>
    <row r="228" spans="1:15" x14ac:dyDescent="0.25">
      <c r="A228" t="s">
        <v>15</v>
      </c>
      <c r="B228">
        <v>50</v>
      </c>
      <c r="C228">
        <v>59.25</v>
      </c>
      <c r="D228">
        <v>-4.5999999999999996</v>
      </c>
      <c r="E228">
        <v>-7.2043852779952997E-2</v>
      </c>
      <c r="F228">
        <v>2</v>
      </c>
      <c r="G228" t="s">
        <v>191</v>
      </c>
      <c r="H228" s="1">
        <v>45932</v>
      </c>
      <c r="I228" t="s">
        <v>17</v>
      </c>
      <c r="J228">
        <v>73803137</v>
      </c>
      <c r="K228">
        <v>256968370.119048</v>
      </c>
      <c r="L228">
        <v>4.2857142857142802E-2</v>
      </c>
      <c r="M228">
        <v>10597192.758190099</v>
      </c>
      <c r="N228">
        <v>37264303.770653099</v>
      </c>
      <c r="O228">
        <v>4.2857142857142802E-2</v>
      </c>
    </row>
    <row r="229" spans="1:15" x14ac:dyDescent="0.25">
      <c r="A229" t="s">
        <v>15</v>
      </c>
      <c r="B229">
        <v>50</v>
      </c>
      <c r="C229">
        <v>59.2</v>
      </c>
      <c r="D229">
        <v>-4.6499999999999897</v>
      </c>
      <c r="E229">
        <v>-7.2826938136256805E-2</v>
      </c>
      <c r="F229">
        <v>2</v>
      </c>
      <c r="G229" t="s">
        <v>192</v>
      </c>
      <c r="H229" s="1">
        <v>45932</v>
      </c>
      <c r="I229" t="s">
        <v>20</v>
      </c>
      <c r="J229">
        <v>73803137</v>
      </c>
      <c r="K229">
        <v>256968370.119048</v>
      </c>
      <c r="L229">
        <v>4.2857142857142802E-2</v>
      </c>
      <c r="M229">
        <v>10597192.758190099</v>
      </c>
      <c r="N229">
        <v>37264303.770653099</v>
      </c>
      <c r="O229">
        <v>4.2857142857142802E-2</v>
      </c>
    </row>
    <row r="230" spans="1:15" x14ac:dyDescent="0.25">
      <c r="A230" t="s">
        <v>15</v>
      </c>
      <c r="B230">
        <v>50</v>
      </c>
      <c r="C230">
        <v>59.2</v>
      </c>
      <c r="D230">
        <v>-4.6499999999999897</v>
      </c>
      <c r="E230">
        <v>-7.2826938136256805E-2</v>
      </c>
      <c r="F230">
        <v>2</v>
      </c>
      <c r="G230" t="s">
        <v>193</v>
      </c>
      <c r="H230" s="1">
        <v>45933</v>
      </c>
      <c r="I230" t="s">
        <v>22</v>
      </c>
      <c r="J230">
        <v>76083554</v>
      </c>
      <c r="K230">
        <v>256968370.119048</v>
      </c>
      <c r="L230">
        <v>4.2857142857142802E-2</v>
      </c>
      <c r="M230">
        <v>11309887.9689367</v>
      </c>
      <c r="N230">
        <v>37264303.770653099</v>
      </c>
      <c r="O230">
        <v>4.2857142857142802E-2</v>
      </c>
    </row>
    <row r="231" spans="1:15" x14ac:dyDescent="0.25">
      <c r="A231" t="s">
        <v>15</v>
      </c>
      <c r="B231">
        <v>50</v>
      </c>
      <c r="C231">
        <v>59.05</v>
      </c>
      <c r="D231">
        <v>-4.8</v>
      </c>
      <c r="E231">
        <v>-7.5176194205168398E-2</v>
      </c>
      <c r="F231">
        <v>2</v>
      </c>
      <c r="G231" t="s">
        <v>194</v>
      </c>
      <c r="H231" s="1">
        <v>45933</v>
      </c>
      <c r="I231" t="s">
        <v>29</v>
      </c>
      <c r="J231">
        <v>76083554</v>
      </c>
      <c r="K231">
        <v>256968370.119048</v>
      </c>
      <c r="L231">
        <v>4.2857142857142802E-2</v>
      </c>
      <c r="M231">
        <v>11309887.9689367</v>
      </c>
      <c r="N231">
        <v>37264303.770653099</v>
      </c>
      <c r="O231">
        <v>4.2857142857142802E-2</v>
      </c>
    </row>
    <row r="232" spans="1:15" x14ac:dyDescent="0.25">
      <c r="A232" t="s">
        <v>15</v>
      </c>
      <c r="B232">
        <v>50</v>
      </c>
      <c r="C232">
        <v>59</v>
      </c>
      <c r="D232">
        <v>-4.8499999999999996</v>
      </c>
      <c r="E232">
        <v>-7.5959279561472207E-2</v>
      </c>
      <c r="F232">
        <v>1</v>
      </c>
      <c r="G232" t="s">
        <v>195</v>
      </c>
      <c r="H232" s="1">
        <v>45932</v>
      </c>
      <c r="I232" t="s">
        <v>22</v>
      </c>
      <c r="J232">
        <v>73803137</v>
      </c>
      <c r="K232">
        <v>184507842.5</v>
      </c>
      <c r="L232">
        <v>3.06122448979591E-2</v>
      </c>
      <c r="M232">
        <v>10597192.758190099</v>
      </c>
      <c r="N232">
        <v>26492981.895475298</v>
      </c>
      <c r="O232">
        <v>3.06122448979591E-2</v>
      </c>
    </row>
    <row r="233" spans="1:15" x14ac:dyDescent="0.25">
      <c r="A233" t="s">
        <v>15</v>
      </c>
      <c r="B233">
        <v>50</v>
      </c>
      <c r="C233">
        <v>58.85</v>
      </c>
      <c r="D233">
        <v>-5</v>
      </c>
      <c r="E233">
        <v>-7.8308535630383702E-2</v>
      </c>
      <c r="F233">
        <v>1</v>
      </c>
      <c r="G233" t="s">
        <v>196</v>
      </c>
      <c r="H233" s="1">
        <v>45932</v>
      </c>
      <c r="I233" t="s">
        <v>29</v>
      </c>
      <c r="J233">
        <v>73803137</v>
      </c>
      <c r="K233">
        <v>184507842.5</v>
      </c>
      <c r="L233">
        <v>3.06122448979591E-2</v>
      </c>
      <c r="M233">
        <v>10597192.758190099</v>
      </c>
      <c r="N233">
        <v>26492981.895475298</v>
      </c>
      <c r="O233">
        <v>3.06122448979591E-2</v>
      </c>
    </row>
    <row r="234" spans="1:15" x14ac:dyDescent="0.25">
      <c r="A234" t="s">
        <v>15</v>
      </c>
      <c r="B234">
        <v>50</v>
      </c>
      <c r="C234">
        <v>58.75</v>
      </c>
      <c r="D234">
        <v>-5.0999999999999996</v>
      </c>
      <c r="E234">
        <v>-7.9874706342991403E-2</v>
      </c>
      <c r="F234">
        <v>1</v>
      </c>
      <c r="G234" t="s">
        <v>197</v>
      </c>
      <c r="H234" s="1">
        <v>45931</v>
      </c>
      <c r="I234" t="s">
        <v>17</v>
      </c>
      <c r="J234">
        <v>77291614</v>
      </c>
      <c r="K234">
        <v>90931310.588235095</v>
      </c>
      <c r="L234">
        <v>1.0204081632653E-2</v>
      </c>
      <c r="M234">
        <v>10720051.917656399</v>
      </c>
      <c r="N234">
        <v>12611825.7854781</v>
      </c>
      <c r="O234">
        <v>6.1224489795918303E-3</v>
      </c>
    </row>
    <row r="235" spans="1:15" x14ac:dyDescent="0.25">
      <c r="A235" t="s">
        <v>15</v>
      </c>
      <c r="B235">
        <v>50</v>
      </c>
      <c r="C235">
        <v>58.1</v>
      </c>
      <c r="D235">
        <v>-5.75</v>
      </c>
      <c r="E235">
        <v>-9.0054815974941194E-2</v>
      </c>
      <c r="F235">
        <v>1</v>
      </c>
      <c r="G235" t="s">
        <v>198</v>
      </c>
      <c r="H235" s="1">
        <v>45931</v>
      </c>
      <c r="I235" t="s">
        <v>20</v>
      </c>
      <c r="J235">
        <v>77291614</v>
      </c>
      <c r="K235">
        <v>90931310.588235095</v>
      </c>
      <c r="L235">
        <v>1.0204081632653E-2</v>
      </c>
      <c r="M235">
        <v>10720051.917656399</v>
      </c>
      <c r="N235">
        <v>12611825.7854781</v>
      </c>
      <c r="O235">
        <v>6.1224489795918303E-3</v>
      </c>
    </row>
    <row r="236" spans="1:15" x14ac:dyDescent="0.25">
      <c r="A236" t="s">
        <v>15</v>
      </c>
      <c r="B236">
        <v>50</v>
      </c>
      <c r="C236">
        <v>57.9</v>
      </c>
      <c r="D236">
        <v>-5.95</v>
      </c>
      <c r="E236">
        <v>-9.3187157400156595E-2</v>
      </c>
      <c r="F236">
        <v>3</v>
      </c>
      <c r="G236" t="s">
        <v>199</v>
      </c>
      <c r="H236" s="1">
        <v>45926</v>
      </c>
      <c r="I236" t="s">
        <v>22</v>
      </c>
      <c r="J236">
        <v>170962034</v>
      </c>
      <c r="K236">
        <v>438285506.77871102</v>
      </c>
      <c r="L236">
        <v>7.7551020408163196E-2</v>
      </c>
      <c r="M236">
        <v>22123874.638597101</v>
      </c>
      <c r="N236">
        <v>58404407.454859801</v>
      </c>
      <c r="O236">
        <v>7.3469387755102006E-2</v>
      </c>
    </row>
    <row r="237" spans="1:15" x14ac:dyDescent="0.25">
      <c r="A237" t="s">
        <v>15</v>
      </c>
      <c r="B237">
        <v>50</v>
      </c>
      <c r="C237">
        <v>57.9</v>
      </c>
      <c r="D237">
        <v>-5.95</v>
      </c>
      <c r="E237">
        <v>-9.3187157400156595E-2</v>
      </c>
      <c r="F237">
        <v>3</v>
      </c>
      <c r="G237" t="s">
        <v>200</v>
      </c>
      <c r="H237" s="1">
        <v>45926</v>
      </c>
      <c r="I237" t="s">
        <v>17</v>
      </c>
      <c r="J237">
        <v>170962034</v>
      </c>
      <c r="K237">
        <v>438285506.77871102</v>
      </c>
      <c r="L237">
        <v>7.7551020408163196E-2</v>
      </c>
      <c r="M237">
        <v>22123874.638597101</v>
      </c>
      <c r="N237">
        <v>58404407.454859801</v>
      </c>
      <c r="O237">
        <v>7.3469387755102006E-2</v>
      </c>
    </row>
    <row r="238" spans="1:15" x14ac:dyDescent="0.25">
      <c r="A238" t="s">
        <v>15</v>
      </c>
      <c r="B238">
        <v>50</v>
      </c>
      <c r="C238">
        <v>57.9</v>
      </c>
      <c r="D238">
        <v>-5.95</v>
      </c>
      <c r="E238">
        <v>-9.3187157400156595E-2</v>
      </c>
      <c r="F238">
        <v>3</v>
      </c>
      <c r="G238" t="s">
        <v>200</v>
      </c>
      <c r="H238" s="1">
        <v>45930</v>
      </c>
      <c r="I238" t="s">
        <v>17</v>
      </c>
      <c r="J238">
        <v>64586624</v>
      </c>
      <c r="K238">
        <v>438285506.77871102</v>
      </c>
      <c r="L238">
        <v>7.7551020408163196E-2</v>
      </c>
      <c r="M238">
        <v>8652778.7047511991</v>
      </c>
      <c r="N238">
        <v>58404407.454859801</v>
      </c>
      <c r="O238">
        <v>7.3469387755102006E-2</v>
      </c>
    </row>
    <row r="239" spans="1:15" x14ac:dyDescent="0.25">
      <c r="A239" t="s">
        <v>15</v>
      </c>
      <c r="B239">
        <v>50</v>
      </c>
      <c r="C239">
        <v>57.9</v>
      </c>
      <c r="D239">
        <v>-5.95</v>
      </c>
      <c r="E239">
        <v>-9.3187157400156595E-2</v>
      </c>
      <c r="F239">
        <v>3</v>
      </c>
      <c r="G239" t="s">
        <v>199</v>
      </c>
      <c r="H239" s="1">
        <v>45931</v>
      </c>
      <c r="I239" t="s">
        <v>22</v>
      </c>
      <c r="J239">
        <v>77291614</v>
      </c>
      <c r="K239">
        <v>438285506.77871102</v>
      </c>
      <c r="L239">
        <v>7.7551020408163196E-2</v>
      </c>
      <c r="M239">
        <v>10720051.917656399</v>
      </c>
      <c r="N239">
        <v>58404407.454859801</v>
      </c>
      <c r="O239">
        <v>7.3469387755102006E-2</v>
      </c>
    </row>
    <row r="240" spans="1:15" x14ac:dyDescent="0.25">
      <c r="A240" t="s">
        <v>15</v>
      </c>
      <c r="B240">
        <v>50</v>
      </c>
      <c r="C240">
        <v>57.9</v>
      </c>
      <c r="D240">
        <v>-5.95</v>
      </c>
      <c r="E240">
        <v>-9.3187157400156595E-2</v>
      </c>
      <c r="F240">
        <v>3</v>
      </c>
      <c r="G240" t="s">
        <v>201</v>
      </c>
      <c r="H240" s="1">
        <v>45931</v>
      </c>
      <c r="I240" t="s">
        <v>29</v>
      </c>
      <c r="J240">
        <v>77291614</v>
      </c>
      <c r="K240">
        <v>438285506.77871102</v>
      </c>
      <c r="L240">
        <v>7.7551020408163196E-2</v>
      </c>
      <c r="M240">
        <v>10720051.917656399</v>
      </c>
      <c r="N240">
        <v>58404407.454859801</v>
      </c>
      <c r="O240">
        <v>7.3469387755102006E-2</v>
      </c>
    </row>
    <row r="241" spans="1:15" x14ac:dyDescent="0.25">
      <c r="A241" t="s">
        <v>15</v>
      </c>
      <c r="B241">
        <v>50</v>
      </c>
      <c r="C241">
        <v>57.8</v>
      </c>
      <c r="D241">
        <v>-6.05</v>
      </c>
      <c r="E241">
        <v>-9.4753328112764296E-2</v>
      </c>
      <c r="F241">
        <v>2</v>
      </c>
      <c r="G241" t="s">
        <v>202</v>
      </c>
      <c r="H241" s="1">
        <v>45930</v>
      </c>
      <c r="I241" t="s">
        <v>20</v>
      </c>
      <c r="J241">
        <v>64586624</v>
      </c>
      <c r="K241">
        <v>347354196.19047499</v>
      </c>
      <c r="L241">
        <v>6.1224489795918297E-2</v>
      </c>
      <c r="M241">
        <v>8652778.7047511991</v>
      </c>
      <c r="N241">
        <v>45792581.669381604</v>
      </c>
      <c r="O241">
        <v>5.7142857142857099E-2</v>
      </c>
    </row>
    <row r="242" spans="1:15" x14ac:dyDescent="0.25">
      <c r="A242" t="s">
        <v>15</v>
      </c>
      <c r="B242">
        <v>50</v>
      </c>
      <c r="C242">
        <v>57.55</v>
      </c>
      <c r="D242">
        <v>-6.3</v>
      </c>
      <c r="E242">
        <v>-9.8668754894283506E-2</v>
      </c>
      <c r="F242">
        <v>2</v>
      </c>
      <c r="G242" t="s">
        <v>203</v>
      </c>
      <c r="H242" s="1">
        <v>45930</v>
      </c>
      <c r="I242" t="s">
        <v>22</v>
      </c>
      <c r="J242">
        <v>64586624</v>
      </c>
      <c r="K242">
        <v>347354196.19047499</v>
      </c>
      <c r="L242">
        <v>6.1224489795918297E-2</v>
      </c>
      <c r="M242">
        <v>8652778.7047511991</v>
      </c>
      <c r="N242">
        <v>45792581.669381604</v>
      </c>
      <c r="O242">
        <v>5.7142857142857099E-2</v>
      </c>
    </row>
    <row r="243" spans="1:15" x14ac:dyDescent="0.25">
      <c r="A243" t="s">
        <v>15</v>
      </c>
      <c r="B243">
        <v>50</v>
      </c>
      <c r="C243">
        <v>57.55</v>
      </c>
      <c r="D243">
        <v>-6.3</v>
      </c>
      <c r="E243">
        <v>-9.8668754894283506E-2</v>
      </c>
      <c r="F243">
        <v>2</v>
      </c>
      <c r="G243" t="s">
        <v>204</v>
      </c>
      <c r="H243" s="1">
        <v>45930</v>
      </c>
      <c r="I243" t="s">
        <v>29</v>
      </c>
      <c r="J243">
        <v>64586624</v>
      </c>
      <c r="K243">
        <v>347354196.19047499</v>
      </c>
      <c r="L243">
        <v>6.1224489795918297E-2</v>
      </c>
      <c r="M243">
        <v>8652778.7047511991</v>
      </c>
      <c r="N243">
        <v>45792581.669381604</v>
      </c>
      <c r="O243">
        <v>5.7142857142857099E-2</v>
      </c>
    </row>
    <row r="244" spans="1:15" x14ac:dyDescent="0.25">
      <c r="A244" t="s">
        <v>15</v>
      </c>
      <c r="B244">
        <v>50</v>
      </c>
      <c r="C244">
        <v>57.359083333333302</v>
      </c>
      <c r="D244">
        <v>-6.49091666666666</v>
      </c>
      <c r="E244">
        <v>-0.101658835813103</v>
      </c>
      <c r="F244">
        <v>1</v>
      </c>
      <c r="G244" t="s">
        <v>205</v>
      </c>
      <c r="H244" s="1">
        <v>46015</v>
      </c>
      <c r="I244" t="s">
        <v>206</v>
      </c>
      <c r="J244">
        <v>64106420</v>
      </c>
      <c r="K244">
        <v>162820984.76190501</v>
      </c>
      <c r="L244">
        <v>2.04081632653061E-2</v>
      </c>
      <c r="M244">
        <v>64106420</v>
      </c>
      <c r="N244">
        <v>21070356.798663899</v>
      </c>
      <c r="O244">
        <v>1.6326530612244899E-2</v>
      </c>
    </row>
    <row r="245" spans="1:15" x14ac:dyDescent="0.25">
      <c r="A245" t="s">
        <v>15</v>
      </c>
      <c r="B245">
        <v>50</v>
      </c>
      <c r="C245">
        <v>57.25</v>
      </c>
      <c r="D245">
        <v>-6.6</v>
      </c>
      <c r="E245">
        <v>-0.103367267032106</v>
      </c>
      <c r="F245">
        <v>1</v>
      </c>
      <c r="G245" t="s">
        <v>207</v>
      </c>
      <c r="H245" s="1">
        <v>45926</v>
      </c>
      <c r="I245" t="s">
        <v>20</v>
      </c>
      <c r="J245">
        <v>170962034</v>
      </c>
      <c r="K245">
        <v>162820984.76190501</v>
      </c>
      <c r="L245">
        <v>2.04081632653061E-2</v>
      </c>
      <c r="M245">
        <v>22123874.638597101</v>
      </c>
      <c r="N245">
        <v>21070356.798663899</v>
      </c>
      <c r="O245">
        <v>1.6326530612244899E-2</v>
      </c>
    </row>
    <row r="246" spans="1:15" x14ac:dyDescent="0.25">
      <c r="A246" t="s">
        <v>15</v>
      </c>
      <c r="B246">
        <v>50</v>
      </c>
      <c r="C246">
        <v>56.85</v>
      </c>
      <c r="D246">
        <v>-7</v>
      </c>
      <c r="E246">
        <v>-0.10963194988253699</v>
      </c>
      <c r="F246">
        <v>1</v>
      </c>
      <c r="G246" t="s">
        <v>208</v>
      </c>
      <c r="H246" s="1">
        <v>45926</v>
      </c>
      <c r="I246" t="s">
        <v>29</v>
      </c>
      <c r="J246">
        <v>170962034</v>
      </c>
      <c r="K246">
        <v>162820984.76190501</v>
      </c>
      <c r="L246">
        <v>2.04081632653061E-2</v>
      </c>
      <c r="M246">
        <v>22123874.638597101</v>
      </c>
      <c r="N246">
        <v>21070356.798663899</v>
      </c>
      <c r="O246">
        <v>1.6326530612244899E-2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TAIEX</vt:lpstr>
      <vt:lpstr>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2025-12-25T07:18:47Z</dcterms:created>
  <dcterms:modified xsi:type="dcterms:W3CDTF">2025-12-25T12:20:18Z</dcterms:modified>
</cp:coreProperties>
</file>