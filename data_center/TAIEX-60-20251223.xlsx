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Invest\data_center\"/>
    </mc:Choice>
  </mc:AlternateContent>
  <xr:revisionPtr revIDLastSave="0" documentId="13_ncr:1_{7A6675D2-6154-4B82-A494-5835B6ACF2C5}" xr6:coauthVersionLast="47" xr6:coauthVersionMax="47" xr10:uidLastSave="{00000000-0000-0000-0000-000000000000}"/>
  <bookViews>
    <workbookView xWindow="-120" yWindow="-120" windowWidth="24240" windowHeight="13020" xr2:uid="{AD3F4341-74CA-4309-9CDE-5C8582C3452B}"/>
  </bookViews>
  <sheets>
    <sheet name="stock_ana" sheetId="1" r:id="rId1"/>
  </sheets>
  <definedNames>
    <definedName name="_xlnm._FilterDatabase" localSheetId="0" hidden="1">stock_ana!$A$1:$N$241</definedName>
  </definedNames>
  <calcPr calcId="181029"/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</calcChain>
</file>

<file path=xl/sharedStrings.xml><?xml version="1.0" encoding="utf-8"?>
<sst xmlns="http://schemas.openxmlformats.org/spreadsheetml/2006/main" count="966" uniqueCount="116">
  <si>
    <t>report</t>
  </si>
  <si>
    <t>stock_id</t>
  </si>
  <si>
    <t>price</t>
  </si>
  <si>
    <t>involve_days</t>
  </si>
  <si>
    <t>involve_date</t>
  </si>
  <si>
    <t>date</t>
  </si>
  <si>
    <t>price_type</t>
  </si>
  <si>
    <t>volume</t>
  </si>
  <si>
    <t>vol_weight</t>
  </si>
  <si>
    <t>vol_wei_pr</t>
  </si>
  <si>
    <t>TAIEX-60-20251223</t>
  </si>
  <si>
    <t>TAIEX</t>
  </si>
  <si>
    <t>max</t>
  </si>
  <si>
    <t>20251104|20251211</t>
  </si>
  <si>
    <t>20251030|20251104|20251211</t>
  </si>
  <si>
    <t>20251030|20251103|20251104|20251211</t>
  </si>
  <si>
    <t>20251030|20251031|20251103|20251104|20251211</t>
  </si>
  <si>
    <t>20251030|20251031|20251103|20251104|20251210|20251211</t>
  </si>
  <si>
    <t>close</t>
  </si>
  <si>
    <t>20251029|20251030|20251031|20251103|20251104|20251210|20251211</t>
  </si>
  <si>
    <t>20251029|20251030|20251031|20251103|20251104|20251209|20251210|20251211</t>
  </si>
  <si>
    <t>open</t>
  </si>
  <si>
    <t>20251029|20251030|20251031|20251103|20251104|20251209|20251210|20251211|20251223</t>
  </si>
  <si>
    <t>20251029|20251030|20251031|20251103|20251104|20251208|20251209|20251210|20251211|20251223</t>
  </si>
  <si>
    <t>20251029|20251030|20251031|20251103|20251104|20251208|20251209|20251210|20251211|20251212|20251223</t>
  </si>
  <si>
    <t>min</t>
  </si>
  <si>
    <t>20251029|20251030|20251103|20251104|20251208|20251209|20251210|20251211|20251212|20251223</t>
  </si>
  <si>
    <t>20251029|20251030|20251103|20251104|20251208|20251209|20251210|20251211|20251212</t>
  </si>
  <si>
    <t>20251027|20251029|20251030|20251103|20251104|20251208|20251209|20251210|20251211|20251212</t>
  </si>
  <si>
    <t>20251027|20251029|20251030|20251103|20251104|20251111|20251208|20251209|20251211|20251212</t>
  </si>
  <si>
    <t>20251027|20251029|20251030|20251103|20251104|20251111|20251208|20251209|20251211|20251212|20251222</t>
  </si>
  <si>
    <t>20251027|20251029|20251030|20251103|20251104|20251111|20251208|20251211|20251212|20251222</t>
  </si>
  <si>
    <t>20251027|20251029|20251030|20251104|20251111|20251208|20251211|20251212|20251222</t>
  </si>
  <si>
    <t>20251027|20251030|20251104|20251111|20251208|20251211|20251212|20251215|20251222</t>
  </si>
  <si>
    <t>20251027|20251104|20251111|20251208|20251211|20251212|20251215|20251222</t>
  </si>
  <si>
    <t>20251027|20251028|20251104|20251111|20251208|20251211|20251212|20251215|20251222</t>
  </si>
  <si>
    <t>20251027|20251028|20251104|20251111|20251112|20251208|20251211|20251212|20251215|20251222</t>
  </si>
  <si>
    <t>20251027|20251028|20251104|20251106|20251111|20251112|20251208|20251211|20251215|20251222</t>
  </si>
  <si>
    <t>20251027|20251028|20251104|20251106|20251111|20251112|20251113|20251208|20251211|20251215|20251222</t>
  </si>
  <si>
    <t>20251027|20251028|20251106|20251111|20251112|20251113|20251208|20251211|20251215|20251222</t>
  </si>
  <si>
    <t>20251027|20251028|20251106|20251111|20251112|20251113|20251211|20251215|20251222</t>
  </si>
  <si>
    <t>20251028|20251106|20251111|20251112|20251113|20251211|20251215|20251222</t>
  </si>
  <si>
    <t>20251028|20251106|20251111|20251112|20251113|20251211|20251215</t>
  </si>
  <si>
    <t>20251028|20251106|20251111|20251112|20251113|20251205|20251215</t>
  </si>
  <si>
    <t>20251028|20251106|20251110|20251111|20251112|20251113|20251205|20251215</t>
  </si>
  <si>
    <t>20251021|20251028|20251106|20251110|20251111|20251112|20251113|20251205|20251215</t>
  </si>
  <si>
    <t>20251021|20251106|20251110|20251111|20251112|20251113|20251204|20251205|20251215</t>
  </si>
  <si>
    <t>20251021|20251110|20251111|20251112|20251113|20251204|20251205|20251215|20251219</t>
  </si>
  <si>
    <t>20251021|20251110|20251111|20251112|20251113|20251203|20251204|20251205|20251215|20251219</t>
  </si>
  <si>
    <t>20251021|20251107|20251110|20251111|20251112|20251113|20251203|20251204|20251205|20251215|20251219</t>
  </si>
  <si>
    <t>20251021|20251107|20251110|20251111|20251112|20251113|20251114|20251203|20251204|20251205|20251215|20251219</t>
  </si>
  <si>
    <t>20251021|20251107|20251110|20251111|20251112|20251114|20251203|20251204|20251205|20251215|20251219</t>
  </si>
  <si>
    <t>20251021|20251105|20251107|20251110|20251111|20251114|20251203|20251204|20251205|20251215|20251219</t>
  </si>
  <si>
    <t>20251021|20251105|20251107|20251110|20251111|20251114|20251128|20251203|20251204|20251205|20251215|20251219</t>
  </si>
  <si>
    <t>20251021|20251105|20251107|20251110|20251114|20251128|20251203|20251204|20251205|20251215|20251217|20251219</t>
  </si>
  <si>
    <t>20251020|20251021|20251105|20251107|20251110|20251114|20251128|20251203|20251204|20251205|20251215|20251217|20251219</t>
  </si>
  <si>
    <t>20251020|20251105|20251107|20251110|20251114|20251128|20251202|20251203|20251204|20251205|20251215|20251217|20251219</t>
  </si>
  <si>
    <t>20251020|20251105|20251107|20251110|20251114|20251128|20251202|20251203|20251204|20251205|20251215|20251216|20251217|20251219</t>
  </si>
  <si>
    <t>20251016|20251020|20251105|20251107|20251110|20251114|20251128|20251202|20251203|20251204|20251215|20251216|20251217|20251219</t>
  </si>
  <si>
    <t>20251016|20251020|20251022|20251105|20251107|20251110|20251114|20251128|20251202|20251203|20251204|20251215|20251216|20251217|20251219</t>
  </si>
  <si>
    <t>20251016|20251020|20251022|20251105|20251107|20251110|20251114|20251117|20251128|20251202|20251203|20251204|20251215|20251216|20251217|20251219</t>
  </si>
  <si>
    <t>20251016|20251020|20251022|20251105|20251107|20251110|20251114|20251117|20251128|20251201|20251202|20251203|20251204|20251215|20251216|20251217|20251219</t>
  </si>
  <si>
    <t>20251016|20251020|20251022|20251105|20251107|20251110|20251114|20251117|20251128|20251201|20251202|20251203|20251204|20251216|20251217|20251219</t>
  </si>
  <si>
    <t>20251016|20251020|20251022|20251105|20251107|20251114|20251117|20251128|20251201|20251202|20251203|20251204|20251216|20251217|20251219</t>
  </si>
  <si>
    <t>20251016|20251020|20251022|20251105|20251107|20251114|20251117|20251127|20251128|20251201|20251202|20251203|20251204|20251216|20251217</t>
  </si>
  <si>
    <t>20251016|20251020|20251022|20251105|20251107|20251114|20251117|20251127|20251128|20251201|20251202|20251203|20251216|20251217</t>
  </si>
  <si>
    <t>20251016|20251020|20251022|20251105|20251114|20251117|20251127|20251128|20251201|20251202|20251203|20251216|20251217</t>
  </si>
  <si>
    <t>20251016|20251020|20251022|20251105|20251114|20251117|20251127|20251128|20251201|20251202|20251216|20251217</t>
  </si>
  <si>
    <t>20251016|20251020|20251022|20251023|20251105|20251114|20251117|20251127|20251128|20251201|20251202|20251216|20251217</t>
  </si>
  <si>
    <t>20251016|20251020|20251022|20251023|20251105|20251114|20251117|20251127|20251128|20251201|20251202|20251216|20251217|20251218</t>
  </si>
  <si>
    <t>20251016|20251020|20251022|20251023|20251105|20251114|20251117|20251127|20251201|20251202|20251216|20251217|20251218</t>
  </si>
  <si>
    <t>20251016|20251017|20251020|20251022|20251023|20251105|20251114|20251117|20251127|20251201|20251202|20251216|20251217|20251218</t>
  </si>
  <si>
    <t>20251014|20251016|20251017|20251020|20251022|20251023|20251105|20251114|20251117|20251127|20251201|20251202|20251216|20251217|20251218</t>
  </si>
  <si>
    <t>20251014|20251016|20251017|20251020|20251022|20251023|20251105|20251114|20251117|20251120|20251127|20251201|20251202|20251216|20251217|20251218</t>
  </si>
  <si>
    <t>20251014|20251016|20251017|20251020|20251023|20251105|20251114|20251117|20251120|20251127|20251201|20251202|20251216|20251217|20251218</t>
  </si>
  <si>
    <t>20251014|20251016|20251017|20251020|20251023|20251105|20251114|20251117|20251120|20251127|20251201|20251216|20251217|20251218</t>
  </si>
  <si>
    <t>20251014|20251016|20251017|20251020|20251023|20251105|20251114|20251117|20251120|20251127|20251201|20251216|20251218</t>
  </si>
  <si>
    <t>20251009|20251014|20251016|20251017|20251020|20251023|20251105|20251114|20251117|20251120|20251127|20251201|20251216|20251218</t>
  </si>
  <si>
    <t>20251009|20251014|20251016|20251017|20251020|20251023|20251105|20251114|20251120|20251127|20251201|20251216|20251218</t>
  </si>
  <si>
    <t>20251009|20251014|20251016|20251017|20251020|20251023|20251105|20251114|20251120|20251201|20251216|20251218</t>
  </si>
  <si>
    <t>20251009|20251014|20251016|20251017|20251023|20251105|20251114|20251120|20251126|20251201|20251216|20251218</t>
  </si>
  <si>
    <t>20251009|20251014|20251016|20251017|20251023|20251105|20251120|20251126|20251201|20251216|20251218</t>
  </si>
  <si>
    <t>20251009|20251014|20251016|20251017|20251023|20251120|20251126|20251201|20251216|20251218</t>
  </si>
  <si>
    <t>20251009|20251014|20251016|20251017|20251120|20251126|20251201|20251216|20251218</t>
  </si>
  <si>
    <t>20251009|20251014|20251016|20251017|20251120|20251126|20251201|20251218</t>
  </si>
  <si>
    <t>20251009|20251014|20251016|20251017|20251120|20251126|20251201</t>
  </si>
  <si>
    <t>20251009|20251014|20251016|20251017|20251120|20251126</t>
  </si>
  <si>
    <t>20251009|20251014|20251017|20251118|20251120|20251126</t>
  </si>
  <si>
    <t>20251009|20251014|20251118|20251120|20251126</t>
  </si>
  <si>
    <t>20251007|20251009|20251014|20251118|20251120|20251126</t>
  </si>
  <si>
    <t>20251007|20251009|20251014|20251015|20251118|20251120|20251126</t>
  </si>
  <si>
    <t>20251007|20251014|20251015|20251118|20251120|20251126</t>
  </si>
  <si>
    <t>20251007|20251014|20251015|20251118|20251125|20251126</t>
  </si>
  <si>
    <t>20251007|20251008|20251014|20251015|20251118|20251125|20251126</t>
  </si>
  <si>
    <t>20251007|20251008|20251014|20251015|20251118|20251125</t>
  </si>
  <si>
    <t>20251008|20251014|20251015|20251118|20251125</t>
  </si>
  <si>
    <t>20251008|20251013|20251014|20251015|20251118|20251125</t>
  </si>
  <si>
    <t>20251008|20251013|20251014|20251015|20251118|20251119|20251125</t>
  </si>
  <si>
    <t>20251013|20251014|20251015|20251118|20251119|20251121|20251125</t>
  </si>
  <si>
    <t>20251013|20251014|20251015|20251118|20251119|20251121</t>
  </si>
  <si>
    <t>20251013|20251014|20251118|20251119|20251121|20251124</t>
  </si>
  <si>
    <t>20251013|20251118|20251119|20251121|20251124</t>
  </si>
  <si>
    <t>20251003|20251013|20251118|20251119|20251121|20251124</t>
  </si>
  <si>
    <t>20251003|20251013|20251119|20251121|20251124</t>
  </si>
  <si>
    <t>20251003|20251013|20251121|20251124</t>
  </si>
  <si>
    <t>20251002|20251003|20251013|20251121|20251124</t>
  </si>
  <si>
    <t>20251002|20251003|20251013|20251121</t>
  </si>
  <si>
    <t>20251002|20251003|20251121</t>
  </si>
  <si>
    <t>20251002|20251121</t>
  </si>
  <si>
    <t>20250925|20251001</t>
  </si>
  <si>
    <t>20250926|20251001</t>
  </si>
  <si>
    <t>20250926|20250930</t>
  </si>
  <si>
    <t>TAIEX-60-20251223</t>
    <phoneticPr fontId="18" type="noConversion"/>
  </si>
  <si>
    <t>group</t>
    <phoneticPr fontId="18" type="noConversion"/>
  </si>
  <si>
    <t>lastDt_close_distance</t>
    <phoneticPr fontId="18" type="noConversion"/>
  </si>
  <si>
    <t>lcd_%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</si>
</sst>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2060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11" xfId="0" applyBorder="1">
      <alignment vertical="center"/>
    </xf>
    <xf numFmtId="176" fontId="0" fillId="0" borderId="12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16" xfId="0" applyBorder="1">
      <alignment vertical="center"/>
    </xf>
    <xf numFmtId="176" fontId="0" fillId="0" borderId="17" xfId="0" applyNumberFormat="1" applyBorder="1">
      <alignment vertical="center"/>
    </xf>
    <xf numFmtId="1" fontId="0" fillId="33" borderId="13" xfId="0" applyNumberFormat="1" applyFill="1" applyBorder="1">
      <alignment vertical="center"/>
    </xf>
    <xf numFmtId="1" fontId="0" fillId="0" borderId="11" xfId="0" applyNumberFormat="1" applyBorder="1">
      <alignment vertical="center"/>
    </xf>
    <xf numFmtId="1" fontId="0" fillId="0" borderId="16" xfId="0" applyNumberFormat="1" applyBorder="1">
      <alignment vertical="center"/>
    </xf>
    <xf numFmtId="0" fontId="20" fillId="34" borderId="0" xfId="0" applyFont="1" applyFill="1">
      <alignment vertical="center"/>
    </xf>
    <xf numFmtId="1" fontId="0" fillId="33" borderId="15" xfId="0" applyNumberFormat="1" applyFill="1" applyBorder="1">
      <alignment vertical="center"/>
    </xf>
    <xf numFmtId="1" fontId="0" fillId="0" borderId="0" xfId="0" applyNumberFormat="1" applyBorder="1">
      <alignment vertical="center"/>
    </xf>
    <xf numFmtId="1" fontId="0" fillId="0" borderId="11" xfId="0" applyNumberFormat="1" applyFill="1" applyBorder="1">
      <alignment vertical="center"/>
    </xf>
    <xf numFmtId="1" fontId="0" fillId="0" borderId="16" xfId="0" applyNumberFormat="1" applyFill="1" applyBorder="1">
      <alignment vertical="center"/>
    </xf>
    <xf numFmtId="1" fontId="0" fillId="0" borderId="0" xfId="0" applyNumberFormat="1" applyFill="1" applyBorder="1">
      <alignment vertical="center"/>
    </xf>
    <xf numFmtId="0" fontId="19" fillId="0" borderId="0" xfId="0" applyFont="1" applyBorder="1">
      <alignment vertical="center"/>
    </xf>
    <xf numFmtId="10" fontId="19" fillId="0" borderId="0" xfId="1" applyNumberFormat="1" applyFont="1" applyFill="1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0" fontId="20" fillId="34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19" fillId="0" borderId="0" xfId="0" applyFont="1" applyFill="1" applyBorder="1">
      <alignment vertical="center"/>
    </xf>
    <xf numFmtId="0" fontId="19" fillId="0" borderId="0" xfId="0" applyFont="1" applyFill="1" applyBorder="1" applyAlignment="1">
      <alignment horizontal="left" vertical="center"/>
    </xf>
    <xf numFmtId="10" fontId="0" fillId="0" borderId="0" xfId="1" applyNumberFormat="1" applyFont="1" applyFill="1" applyBorder="1">
      <alignment vertical="center"/>
    </xf>
    <xf numFmtId="0" fontId="0" fillId="0" borderId="0" xfId="0" applyFill="1" applyBorder="1" applyAlignment="1">
      <alignment horizontal="left" vertical="center"/>
    </xf>
    <xf numFmtId="14" fontId="0" fillId="0" borderId="0" xfId="0" applyNumberFormat="1" applyFill="1" applyBorder="1">
      <alignment vertical="center"/>
    </xf>
    <xf numFmtId="1" fontId="0" fillId="0" borderId="10" xfId="0" applyNumberFormat="1" applyFill="1" applyBorder="1">
      <alignment vertical="center"/>
    </xf>
    <xf numFmtId="10" fontId="0" fillId="0" borderId="11" xfId="1" applyNumberFormat="1" applyFont="1" applyFill="1" applyBorder="1">
      <alignment vertical="center"/>
    </xf>
    <xf numFmtId="0" fontId="0" fillId="0" borderId="11" xfId="0" applyFill="1" applyBorder="1">
      <alignment vertical="center"/>
    </xf>
    <xf numFmtId="0" fontId="0" fillId="0" borderId="11" xfId="0" applyFill="1" applyBorder="1" applyAlignment="1">
      <alignment horizontal="left" vertical="center"/>
    </xf>
    <xf numFmtId="14" fontId="0" fillId="0" borderId="11" xfId="0" applyNumberFormat="1" applyFill="1" applyBorder="1">
      <alignment vertical="center"/>
    </xf>
    <xf numFmtId="1" fontId="0" fillId="0" borderId="13" xfId="0" applyNumberFormat="1" applyFill="1" applyBorder="1">
      <alignment vertical="center"/>
    </xf>
    <xf numFmtId="1" fontId="0" fillId="0" borderId="15" xfId="0" applyNumberFormat="1" applyFill="1" applyBorder="1">
      <alignment vertical="center"/>
    </xf>
    <xf numFmtId="10" fontId="0" fillId="0" borderId="16" xfId="1" applyNumberFormat="1" applyFont="1" applyFill="1" applyBorder="1">
      <alignment vertical="center"/>
    </xf>
    <xf numFmtId="0" fontId="0" fillId="0" borderId="16" xfId="0" applyFill="1" applyBorder="1">
      <alignment vertical="center"/>
    </xf>
    <xf numFmtId="0" fontId="0" fillId="0" borderId="16" xfId="0" applyFill="1" applyBorder="1" applyAlignment="1">
      <alignment horizontal="left" vertical="center"/>
    </xf>
    <xf numFmtId="14" fontId="0" fillId="0" borderId="16" xfId="0" applyNumberFormat="1" applyFill="1" applyBorder="1">
      <alignment vertical="center"/>
    </xf>
    <xf numFmtId="1" fontId="20" fillId="34" borderId="15" xfId="0" applyNumberFormat="1" applyFont="1" applyFill="1" applyBorder="1">
      <alignment vertical="center"/>
    </xf>
    <xf numFmtId="1" fontId="20" fillId="34" borderId="16" xfId="0" applyNumberFormat="1" applyFont="1" applyFill="1" applyBorder="1">
      <alignment vertical="center"/>
    </xf>
    <xf numFmtId="10" fontId="20" fillId="34" borderId="16" xfId="1" applyNumberFormat="1" applyFont="1" applyFill="1" applyBorder="1">
      <alignment vertical="center"/>
    </xf>
    <xf numFmtId="0" fontId="20" fillId="34" borderId="16" xfId="0" applyFont="1" applyFill="1" applyBorder="1">
      <alignment vertical="center"/>
    </xf>
    <xf numFmtId="0" fontId="20" fillId="34" borderId="16" xfId="0" applyFont="1" applyFill="1" applyBorder="1" applyAlignment="1">
      <alignment horizontal="left" vertical="center"/>
    </xf>
    <xf numFmtId="14" fontId="20" fillId="34" borderId="16" xfId="0" applyNumberFormat="1" applyFont="1" applyFill="1" applyBorder="1">
      <alignment vertical="center"/>
    </xf>
    <xf numFmtId="176" fontId="20" fillId="34" borderId="17" xfId="0" applyNumberFormat="1" applyFont="1" applyFill="1" applyBorder="1">
      <alignment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1"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B690-F2A1-4111-A5D6-2184F9817018}">
  <dimension ref="A1:N241"/>
  <sheetViews>
    <sheetView tabSelected="1" workbookViewId="0">
      <pane ySplit="1" topLeftCell="A7" activePane="bottomLeft" state="frozen"/>
      <selection pane="bottomLeft" activeCell="D20" sqref="D20"/>
    </sheetView>
  </sheetViews>
  <sheetFormatPr defaultRowHeight="16.5" x14ac:dyDescent="0.25"/>
  <cols>
    <col min="1" max="1" width="4.5" bestFit="1" customWidth="1"/>
    <col min="2" max="2" width="19.875" customWidth="1"/>
    <col min="3" max="3" width="9.375" style="21" bestFit="1" customWidth="1"/>
    <col min="4" max="5" width="13" style="21" customWidth="1"/>
    <col min="6" max="6" width="15.875" style="24" customWidth="1"/>
    <col min="7" max="7" width="14.125" style="21" bestFit="1" customWidth="1"/>
    <col min="8" max="8" width="16.875" style="25" customWidth="1"/>
    <col min="9" max="9" width="14.875" style="21" customWidth="1"/>
    <col min="10" max="10" width="11.375" style="21" bestFit="1" customWidth="1"/>
    <col min="11" max="11" width="16" style="18" customWidth="1"/>
    <col min="12" max="12" width="15.625" style="18" customWidth="1"/>
    <col min="13" max="13" width="14.5" style="18" customWidth="1"/>
    <col min="14" max="14" width="9" customWidth="1"/>
  </cols>
  <sheetData>
    <row r="1" spans="1:14" s="1" customFormat="1" x14ac:dyDescent="0.25">
      <c r="B1" s="1" t="s">
        <v>0</v>
      </c>
      <c r="C1" s="22" t="s">
        <v>1</v>
      </c>
      <c r="D1" s="22" t="s">
        <v>2</v>
      </c>
      <c r="E1" s="17" t="s">
        <v>114</v>
      </c>
      <c r="F1" s="17" t="s">
        <v>115</v>
      </c>
      <c r="G1" s="22" t="s">
        <v>3</v>
      </c>
      <c r="H1" s="23" t="s">
        <v>4</v>
      </c>
      <c r="I1" s="22" t="s">
        <v>5</v>
      </c>
      <c r="J1" s="22" t="s">
        <v>6</v>
      </c>
      <c r="K1" s="16" t="s">
        <v>7</v>
      </c>
      <c r="L1" s="16" t="s">
        <v>8</v>
      </c>
      <c r="M1" s="16" t="s">
        <v>9</v>
      </c>
      <c r="N1" s="1" t="s">
        <v>113</v>
      </c>
    </row>
    <row r="2" spans="1:14" x14ac:dyDescent="0.25">
      <c r="A2">
        <v>0</v>
      </c>
      <c r="B2" t="s">
        <v>10</v>
      </c>
      <c r="C2" s="21" t="s">
        <v>11</v>
      </c>
      <c r="D2" s="15">
        <v>28568.02</v>
      </c>
      <c r="E2" s="15">
        <f>D2-D$17</f>
        <v>257.54999999999927</v>
      </c>
      <c r="F2" s="24">
        <v>9.0973410190646493E-3</v>
      </c>
      <c r="G2" s="21">
        <v>1</v>
      </c>
      <c r="H2" s="25">
        <v>20251211</v>
      </c>
      <c r="I2" s="26">
        <v>46002</v>
      </c>
      <c r="J2" s="21" t="s">
        <v>12</v>
      </c>
      <c r="K2" s="18">
        <v>8087246896</v>
      </c>
      <c r="L2" s="18">
        <v>13852057.783943901</v>
      </c>
      <c r="M2" s="19">
        <v>4.1666666666666597E-3</v>
      </c>
    </row>
    <row r="3" spans="1:14" x14ac:dyDescent="0.25">
      <c r="A3">
        <v>1</v>
      </c>
      <c r="B3" t="s">
        <v>10</v>
      </c>
      <c r="C3" s="21" t="s">
        <v>11</v>
      </c>
      <c r="D3" s="15">
        <v>28554.61</v>
      </c>
      <c r="E3" s="15">
        <f t="shared" ref="E3:E6" si="0">D3-D$17</f>
        <v>244.13999999999942</v>
      </c>
      <c r="F3" s="24">
        <v>8.6236646724692102E-3</v>
      </c>
      <c r="G3" s="21">
        <v>2</v>
      </c>
      <c r="H3" s="25" t="s">
        <v>13</v>
      </c>
      <c r="I3" s="26">
        <v>45965</v>
      </c>
      <c r="J3" s="21" t="s">
        <v>12</v>
      </c>
      <c r="K3" s="18">
        <v>8404740088</v>
      </c>
      <c r="L3" s="18">
        <v>29984306.172588501</v>
      </c>
      <c r="M3" s="19">
        <v>2.0833333333333301E-2</v>
      </c>
    </row>
    <row r="4" spans="1:14" x14ac:dyDescent="0.25">
      <c r="A4">
        <v>2</v>
      </c>
      <c r="B4" t="s">
        <v>10</v>
      </c>
      <c r="C4" s="21" t="s">
        <v>11</v>
      </c>
      <c r="D4" s="15">
        <v>28527.68</v>
      </c>
      <c r="E4" s="15">
        <f t="shared" si="0"/>
        <v>217.20999999999913</v>
      </c>
      <c r="F4" s="24">
        <v>7.67242649097662E-3</v>
      </c>
      <c r="G4" s="21">
        <v>3</v>
      </c>
      <c r="H4" s="25" t="s">
        <v>14</v>
      </c>
      <c r="I4" s="26">
        <v>45960</v>
      </c>
      <c r="J4" s="21" t="s">
        <v>12</v>
      </c>
      <c r="K4" s="18">
        <v>9446378341</v>
      </c>
      <c r="L4" s="18">
        <v>52963722.201098703</v>
      </c>
      <c r="M4" s="19">
        <v>7.0833333333333304E-2</v>
      </c>
    </row>
    <row r="5" spans="1:14" x14ac:dyDescent="0.25">
      <c r="A5">
        <v>3</v>
      </c>
      <c r="B5" t="s">
        <v>10</v>
      </c>
      <c r="C5" s="21" t="s">
        <v>11</v>
      </c>
      <c r="D5" s="15">
        <v>28494.99</v>
      </c>
      <c r="E5" s="15">
        <f t="shared" si="0"/>
        <v>184.52000000000044</v>
      </c>
      <c r="F5" s="24">
        <v>6.5177300129598799E-3</v>
      </c>
      <c r="G5" s="21">
        <v>4</v>
      </c>
      <c r="H5" s="25" t="s">
        <v>15</v>
      </c>
      <c r="I5" s="26">
        <v>45964</v>
      </c>
      <c r="J5" s="21" t="s">
        <v>12</v>
      </c>
      <c r="K5" s="18">
        <v>8299689369</v>
      </c>
      <c r="L5" s="18">
        <v>77052911.755286798</v>
      </c>
      <c r="M5" s="19">
        <v>0.1</v>
      </c>
    </row>
    <row r="6" spans="1:14" ht="17.25" thickBot="1" x14ac:dyDescent="0.3">
      <c r="A6">
        <v>4</v>
      </c>
      <c r="B6" t="s">
        <v>10</v>
      </c>
      <c r="C6" s="21" t="s">
        <v>11</v>
      </c>
      <c r="D6" s="15">
        <v>28489.759999999998</v>
      </c>
      <c r="E6" s="15">
        <f t="shared" si="0"/>
        <v>179.28999999999724</v>
      </c>
      <c r="F6" s="24">
        <v>6.3329927055254497E-3</v>
      </c>
      <c r="G6" s="21">
        <v>5</v>
      </c>
      <c r="H6" s="25" t="s">
        <v>16</v>
      </c>
      <c r="I6" s="26">
        <v>45961</v>
      </c>
      <c r="J6" s="21" t="s">
        <v>12</v>
      </c>
      <c r="K6" s="18">
        <v>8339995492</v>
      </c>
      <c r="L6" s="18">
        <v>109578926.700101</v>
      </c>
      <c r="M6" s="19">
        <v>0.12916666666666601</v>
      </c>
    </row>
    <row r="7" spans="1:14" x14ac:dyDescent="0.25">
      <c r="A7">
        <v>5</v>
      </c>
      <c r="B7" t="s">
        <v>112</v>
      </c>
      <c r="C7" s="21" t="s">
        <v>11</v>
      </c>
      <c r="D7" s="27">
        <v>28417.09</v>
      </c>
      <c r="E7" s="13">
        <f t="shared" ref="E6:E69" si="1">D7-D$17</f>
        <v>106.61999999999898</v>
      </c>
      <c r="F7" s="28">
        <v>3.76609784295347E-3</v>
      </c>
      <c r="G7" s="29">
        <v>6</v>
      </c>
      <c r="H7" s="30" t="s">
        <v>17</v>
      </c>
      <c r="I7" s="31">
        <v>46001</v>
      </c>
      <c r="J7" s="29" t="s">
        <v>12</v>
      </c>
      <c r="K7" s="2">
        <v>8239950462</v>
      </c>
      <c r="L7" s="2">
        <v>145985724.12863499</v>
      </c>
      <c r="M7" s="3">
        <v>0.25624999999999998</v>
      </c>
    </row>
    <row r="8" spans="1:14" x14ac:dyDescent="0.25">
      <c r="A8">
        <v>6</v>
      </c>
      <c r="B8" t="s">
        <v>10</v>
      </c>
      <c r="C8" s="21" t="s">
        <v>11</v>
      </c>
      <c r="D8" s="32">
        <v>28400.73</v>
      </c>
      <c r="E8" s="15">
        <f t="shared" si="1"/>
        <v>90.259999999998399</v>
      </c>
      <c r="F8" s="24">
        <v>3.1882197646311899E-3</v>
      </c>
      <c r="G8" s="21">
        <v>6</v>
      </c>
      <c r="H8" s="25" t="s">
        <v>17</v>
      </c>
      <c r="I8" s="26">
        <v>46001</v>
      </c>
      <c r="J8" s="21" t="s">
        <v>18</v>
      </c>
      <c r="K8" s="18">
        <v>8239950462</v>
      </c>
      <c r="L8" s="18">
        <v>145985724.12863499</v>
      </c>
      <c r="M8" s="4">
        <v>0.25624999999999998</v>
      </c>
    </row>
    <row r="9" spans="1:14" ht="17.25" thickBot="1" x14ac:dyDescent="0.3">
      <c r="A9">
        <v>7</v>
      </c>
      <c r="B9" t="s">
        <v>10</v>
      </c>
      <c r="C9" s="21" t="s">
        <v>11</v>
      </c>
      <c r="D9" s="11">
        <v>28395.31</v>
      </c>
      <c r="E9" s="14">
        <f t="shared" si="1"/>
        <v>84.840000000000146</v>
      </c>
      <c r="F9" s="34">
        <v>2.9967711592213098E-3</v>
      </c>
      <c r="G9" s="35">
        <v>7</v>
      </c>
      <c r="H9" s="36" t="s">
        <v>19</v>
      </c>
      <c r="I9" s="37">
        <v>45959</v>
      </c>
      <c r="J9" s="35" t="s">
        <v>12</v>
      </c>
      <c r="K9" s="5">
        <v>9076231278</v>
      </c>
      <c r="L9" s="9">
        <v>181486902.56092799</v>
      </c>
      <c r="M9" s="6">
        <v>0.34166666666666601</v>
      </c>
    </row>
    <row r="10" spans="1:14" x14ac:dyDescent="0.25">
      <c r="A10">
        <v>8</v>
      </c>
      <c r="B10" t="s">
        <v>10</v>
      </c>
      <c r="C10" s="21" t="s">
        <v>11</v>
      </c>
      <c r="D10" s="27">
        <v>28390.240000000002</v>
      </c>
      <c r="E10" s="13">
        <f t="shared" si="1"/>
        <v>79.770000000000437</v>
      </c>
      <c r="F10" s="28">
        <v>2.8176854711348901E-3</v>
      </c>
      <c r="G10" s="29">
        <v>8</v>
      </c>
      <c r="H10" s="30" t="s">
        <v>20</v>
      </c>
      <c r="I10" s="31">
        <v>46000</v>
      </c>
      <c r="J10" s="29" t="s">
        <v>12</v>
      </c>
      <c r="K10" s="2">
        <v>8116345692</v>
      </c>
      <c r="L10" s="8">
        <v>216325489.89835301</v>
      </c>
      <c r="M10" s="3">
        <v>0.360416666666666</v>
      </c>
    </row>
    <row r="11" spans="1:14" x14ac:dyDescent="0.25">
      <c r="A11">
        <v>9</v>
      </c>
      <c r="B11" t="s">
        <v>10</v>
      </c>
      <c r="C11" s="21" t="s">
        <v>11</v>
      </c>
      <c r="D11" s="32">
        <v>28385.23</v>
      </c>
      <c r="E11" s="15">
        <f t="shared" si="1"/>
        <v>74.759999999998399</v>
      </c>
      <c r="F11" s="24">
        <v>2.6407191403038598E-3</v>
      </c>
      <c r="G11" s="21">
        <v>8</v>
      </c>
      <c r="H11" s="25" t="s">
        <v>20</v>
      </c>
      <c r="I11" s="26">
        <v>46002</v>
      </c>
      <c r="J11" s="21" t="s">
        <v>21</v>
      </c>
      <c r="K11" s="18">
        <v>8087246896</v>
      </c>
      <c r="L11" s="12">
        <v>216325489.89835301</v>
      </c>
      <c r="M11" s="4">
        <v>0.360416666666666</v>
      </c>
    </row>
    <row r="12" spans="1:14" x14ac:dyDescent="0.25">
      <c r="A12">
        <v>10</v>
      </c>
      <c r="B12" t="s">
        <v>10</v>
      </c>
      <c r="C12" s="21" t="s">
        <v>11</v>
      </c>
      <c r="D12" s="7">
        <v>28364.76</v>
      </c>
      <c r="E12" s="15">
        <f t="shared" si="1"/>
        <v>54.289999999997235</v>
      </c>
      <c r="F12" s="24">
        <v>1.91766508998251E-3</v>
      </c>
      <c r="G12" s="21">
        <v>8</v>
      </c>
      <c r="H12" s="25" t="s">
        <v>20</v>
      </c>
      <c r="I12" s="26">
        <v>45965</v>
      </c>
      <c r="J12" s="21" t="s">
        <v>21</v>
      </c>
      <c r="K12" s="18">
        <v>8404740088</v>
      </c>
      <c r="L12" s="12">
        <v>216325489.89835301</v>
      </c>
      <c r="M12" s="4">
        <v>0.360416666666666</v>
      </c>
    </row>
    <row r="13" spans="1:14" ht="17.25" thickBot="1" x14ac:dyDescent="0.3">
      <c r="A13">
        <v>11</v>
      </c>
      <c r="B13" t="s">
        <v>10</v>
      </c>
      <c r="C13" s="21" t="s">
        <v>11</v>
      </c>
      <c r="D13" s="33">
        <v>28364.04</v>
      </c>
      <c r="E13" s="14">
        <f t="shared" si="1"/>
        <v>53.569999999999709</v>
      </c>
      <c r="F13" s="34">
        <v>1.8922328029170701E-3</v>
      </c>
      <c r="G13" s="35">
        <v>8</v>
      </c>
      <c r="H13" s="36" t="s">
        <v>20</v>
      </c>
      <c r="I13" s="37">
        <v>46000</v>
      </c>
      <c r="J13" s="35" t="s">
        <v>21</v>
      </c>
      <c r="K13" s="5">
        <v>8116345692</v>
      </c>
      <c r="L13" s="9">
        <v>216325489.89835301</v>
      </c>
      <c r="M13" s="6">
        <v>0.360416666666666</v>
      </c>
    </row>
    <row r="14" spans="1:14" x14ac:dyDescent="0.25">
      <c r="A14">
        <v>12</v>
      </c>
      <c r="B14" t="s">
        <v>10</v>
      </c>
      <c r="C14" s="21" t="s">
        <v>11</v>
      </c>
      <c r="D14" s="27">
        <v>28350.37</v>
      </c>
      <c r="E14" s="13">
        <f t="shared" si="1"/>
        <v>39.899999999997817</v>
      </c>
      <c r="F14" s="28">
        <v>1.40937257488123E-3</v>
      </c>
      <c r="G14" s="29">
        <v>9</v>
      </c>
      <c r="H14" s="30" t="s">
        <v>22</v>
      </c>
      <c r="I14" s="31">
        <v>46014</v>
      </c>
      <c r="J14" s="29" t="s">
        <v>12</v>
      </c>
      <c r="K14" s="2">
        <v>7965662925</v>
      </c>
      <c r="L14" s="8">
        <v>274244946.92591101</v>
      </c>
      <c r="M14" s="3">
        <v>0.43541666666666601</v>
      </c>
    </row>
    <row r="15" spans="1:14" x14ac:dyDescent="0.25">
      <c r="A15">
        <v>13</v>
      </c>
      <c r="B15" t="s">
        <v>10</v>
      </c>
      <c r="C15" s="21" t="s">
        <v>11</v>
      </c>
      <c r="D15" s="32">
        <v>28350.240000000002</v>
      </c>
      <c r="E15" s="15">
        <f t="shared" si="1"/>
        <v>39.770000000000437</v>
      </c>
      <c r="F15" s="24">
        <v>1.40478063416115E-3</v>
      </c>
      <c r="G15" s="21">
        <v>9</v>
      </c>
      <c r="H15" s="25" t="s">
        <v>22</v>
      </c>
      <c r="I15" s="26">
        <v>45960</v>
      </c>
      <c r="J15" s="21" t="s">
        <v>21</v>
      </c>
      <c r="K15" s="18">
        <v>9446378341</v>
      </c>
      <c r="L15" s="12">
        <v>274244946.92591101</v>
      </c>
      <c r="M15" s="4">
        <v>0.43541666666666601</v>
      </c>
    </row>
    <row r="16" spans="1:14" x14ac:dyDescent="0.25">
      <c r="A16">
        <v>14</v>
      </c>
      <c r="B16" t="s">
        <v>10</v>
      </c>
      <c r="C16" s="21" t="s">
        <v>11</v>
      </c>
      <c r="D16" s="32">
        <v>28334.59</v>
      </c>
      <c r="E16" s="15">
        <f t="shared" si="1"/>
        <v>24.119999999998981</v>
      </c>
      <c r="F16" s="24">
        <v>8.5198161669512999E-4</v>
      </c>
      <c r="G16" s="21">
        <v>9</v>
      </c>
      <c r="H16" s="25" t="s">
        <v>22</v>
      </c>
      <c r="I16" s="26">
        <v>45964</v>
      </c>
      <c r="J16" s="21" t="s">
        <v>18</v>
      </c>
      <c r="K16" s="18">
        <v>8299689369</v>
      </c>
      <c r="L16" s="12">
        <v>274244946.92591101</v>
      </c>
      <c r="M16" s="4">
        <v>0.43541666666666601</v>
      </c>
    </row>
    <row r="17" spans="1:13" s="10" customFormat="1" ht="17.25" thickBot="1" x14ac:dyDescent="0.3">
      <c r="A17" s="10">
        <v>15</v>
      </c>
      <c r="B17" s="10" t="s">
        <v>10</v>
      </c>
      <c r="C17" s="20" t="s">
        <v>11</v>
      </c>
      <c r="D17" s="38">
        <v>28310.47</v>
      </c>
      <c r="E17" s="39">
        <f t="shared" si="1"/>
        <v>0</v>
      </c>
      <c r="F17" s="40">
        <v>0</v>
      </c>
      <c r="G17" s="41">
        <v>9</v>
      </c>
      <c r="H17" s="42" t="s">
        <v>22</v>
      </c>
      <c r="I17" s="43">
        <v>46014</v>
      </c>
      <c r="J17" s="41" t="s">
        <v>18</v>
      </c>
      <c r="K17" s="41">
        <v>7965662925</v>
      </c>
      <c r="L17" s="39">
        <v>274244946.92591101</v>
      </c>
      <c r="M17" s="44">
        <v>0.43541666666666601</v>
      </c>
    </row>
    <row r="18" spans="1:13" x14ac:dyDescent="0.25">
      <c r="A18">
        <v>16</v>
      </c>
      <c r="B18" t="s">
        <v>10</v>
      </c>
      <c r="C18" s="21" t="s">
        <v>11</v>
      </c>
      <c r="D18" s="27">
        <v>28303.78</v>
      </c>
      <c r="E18" s="13">
        <f t="shared" si="1"/>
        <v>-6.6900000000023283</v>
      </c>
      <c r="F18" s="28">
        <v>-2.3630833398393999E-4</v>
      </c>
      <c r="G18" s="29">
        <v>10</v>
      </c>
      <c r="H18" s="30" t="s">
        <v>23</v>
      </c>
      <c r="I18" s="31">
        <v>45999</v>
      </c>
      <c r="J18" s="29" t="s">
        <v>18</v>
      </c>
      <c r="K18" s="2">
        <v>7603908443</v>
      </c>
      <c r="L18" s="8">
        <v>301657284.94458503</v>
      </c>
      <c r="M18" s="3">
        <v>0.55416666666666603</v>
      </c>
    </row>
    <row r="19" spans="1:13" x14ac:dyDescent="0.25">
      <c r="A19">
        <v>17</v>
      </c>
      <c r="B19" t="s">
        <v>10</v>
      </c>
      <c r="C19" s="21" t="s">
        <v>11</v>
      </c>
      <c r="D19" s="32">
        <v>28303.78</v>
      </c>
      <c r="E19" s="15">
        <f t="shared" si="1"/>
        <v>-6.6900000000023283</v>
      </c>
      <c r="F19" s="24">
        <v>-2.3630833398393999E-4</v>
      </c>
      <c r="G19" s="21">
        <v>10</v>
      </c>
      <c r="H19" s="25" t="s">
        <v>23</v>
      </c>
      <c r="I19" s="26">
        <v>45999</v>
      </c>
      <c r="J19" s="21" t="s">
        <v>12</v>
      </c>
      <c r="K19" s="18">
        <v>7603908443</v>
      </c>
      <c r="L19" s="12">
        <v>301657284.94458503</v>
      </c>
      <c r="M19" s="4">
        <v>0.55416666666666603</v>
      </c>
    </row>
    <row r="20" spans="1:13" x14ac:dyDescent="0.25">
      <c r="A20">
        <v>18</v>
      </c>
      <c r="B20" t="s">
        <v>10</v>
      </c>
      <c r="C20" s="21" t="s">
        <v>11</v>
      </c>
      <c r="D20" s="32">
        <v>28294.74</v>
      </c>
      <c r="E20" s="15">
        <f t="shared" si="1"/>
        <v>-15.729999999999563</v>
      </c>
      <c r="F20" s="24">
        <v>-5.55624827139908E-4</v>
      </c>
      <c r="G20" s="21">
        <v>10</v>
      </c>
      <c r="H20" s="25" t="s">
        <v>23</v>
      </c>
      <c r="I20" s="26">
        <v>45959</v>
      </c>
      <c r="J20" s="21" t="s">
        <v>18</v>
      </c>
      <c r="K20" s="18">
        <v>9076231278</v>
      </c>
      <c r="L20" s="12">
        <v>301657284.94458503</v>
      </c>
      <c r="M20" s="4">
        <v>0.55416666666666603</v>
      </c>
    </row>
    <row r="21" spans="1:13" x14ac:dyDescent="0.25">
      <c r="A21">
        <v>19</v>
      </c>
      <c r="B21" t="s">
        <v>10</v>
      </c>
      <c r="C21" s="21" t="s">
        <v>11</v>
      </c>
      <c r="D21" s="32">
        <v>28287.53</v>
      </c>
      <c r="E21" s="15">
        <f t="shared" si="1"/>
        <v>-22.940000000002328</v>
      </c>
      <c r="F21" s="24">
        <v>-8.1030092400452298E-4</v>
      </c>
      <c r="G21" s="21">
        <v>10</v>
      </c>
      <c r="H21" s="25" t="s">
        <v>23</v>
      </c>
      <c r="I21" s="26">
        <v>45960</v>
      </c>
      <c r="J21" s="21" t="s">
        <v>18</v>
      </c>
      <c r="K21" s="18">
        <v>9446378341</v>
      </c>
      <c r="L21" s="12">
        <v>301657284.94458503</v>
      </c>
      <c r="M21" s="4">
        <v>0.55416666666666603</v>
      </c>
    </row>
    <row r="22" spans="1:13" ht="17.25" thickBot="1" x14ac:dyDescent="0.3">
      <c r="A22">
        <v>20</v>
      </c>
      <c r="B22" t="s">
        <v>10</v>
      </c>
      <c r="C22" s="21" t="s">
        <v>11</v>
      </c>
      <c r="D22" s="33">
        <v>28280.47</v>
      </c>
      <c r="E22" s="14">
        <f t="shared" si="1"/>
        <v>-30</v>
      </c>
      <c r="F22" s="34">
        <v>-1.0596786277302999E-3</v>
      </c>
      <c r="G22" s="35">
        <v>10</v>
      </c>
      <c r="H22" s="36" t="s">
        <v>23</v>
      </c>
      <c r="I22" s="37">
        <v>45961</v>
      </c>
      <c r="J22" s="35" t="s">
        <v>21</v>
      </c>
      <c r="K22" s="5">
        <v>8339995492</v>
      </c>
      <c r="L22" s="9">
        <v>301657284.94458503</v>
      </c>
      <c r="M22" s="6">
        <v>0.55416666666666603</v>
      </c>
    </row>
    <row r="23" spans="1:13" x14ac:dyDescent="0.25">
      <c r="A23">
        <v>21</v>
      </c>
      <c r="B23" t="s">
        <v>10</v>
      </c>
      <c r="C23" s="21" t="s">
        <v>11</v>
      </c>
      <c r="D23" s="27">
        <v>28272.06</v>
      </c>
      <c r="E23" s="13">
        <f t="shared" si="1"/>
        <v>-38.409999999999854</v>
      </c>
      <c r="F23" s="28">
        <v>-1.35674186970403E-3</v>
      </c>
      <c r="G23" s="29">
        <v>11</v>
      </c>
      <c r="H23" s="30" t="s">
        <v>24</v>
      </c>
      <c r="I23" s="31">
        <v>46003</v>
      </c>
      <c r="J23" s="29" t="s">
        <v>12</v>
      </c>
      <c r="K23" s="2">
        <v>8508400161</v>
      </c>
      <c r="L23" s="8">
        <v>344046683.913297</v>
      </c>
      <c r="M23" s="3">
        <v>0.69166666666666599</v>
      </c>
    </row>
    <row r="24" spans="1:13" x14ac:dyDescent="0.25">
      <c r="A24">
        <v>22</v>
      </c>
      <c r="B24" t="s">
        <v>10</v>
      </c>
      <c r="C24" s="21" t="s">
        <v>11</v>
      </c>
      <c r="D24" s="32">
        <v>28253.53</v>
      </c>
      <c r="E24" s="15">
        <f t="shared" si="1"/>
        <v>-56.940000000002328</v>
      </c>
      <c r="F24" s="24">
        <v>-2.0112700354322E-3</v>
      </c>
      <c r="G24" s="21">
        <v>11</v>
      </c>
      <c r="H24" s="25" t="s">
        <v>24</v>
      </c>
      <c r="I24" s="26">
        <v>45964</v>
      </c>
      <c r="J24" s="21" t="s">
        <v>21</v>
      </c>
      <c r="K24" s="18">
        <v>8299689369</v>
      </c>
      <c r="L24" s="12">
        <v>344046683.913297</v>
      </c>
      <c r="M24" s="4">
        <v>0.69166666666666599</v>
      </c>
    </row>
    <row r="25" spans="1:13" x14ac:dyDescent="0.25">
      <c r="A25">
        <v>23</v>
      </c>
      <c r="B25" t="s">
        <v>10</v>
      </c>
      <c r="C25" s="21" t="s">
        <v>11</v>
      </c>
      <c r="D25" s="32">
        <v>28253.14</v>
      </c>
      <c r="E25" s="15">
        <f t="shared" si="1"/>
        <v>-57.330000000001746</v>
      </c>
      <c r="F25" s="24">
        <v>-2.0250458575926701E-3</v>
      </c>
      <c r="G25" s="21">
        <v>11</v>
      </c>
      <c r="H25" s="25" t="s">
        <v>24</v>
      </c>
      <c r="I25" s="26">
        <v>46014</v>
      </c>
      <c r="J25" s="21" t="s">
        <v>21</v>
      </c>
      <c r="K25" s="18">
        <v>7965662925</v>
      </c>
      <c r="L25" s="12">
        <v>344046683.913297</v>
      </c>
      <c r="M25" s="4">
        <v>0.69166666666666599</v>
      </c>
    </row>
    <row r="26" spans="1:13" x14ac:dyDescent="0.25">
      <c r="A26">
        <v>24</v>
      </c>
      <c r="B26" t="s">
        <v>10</v>
      </c>
      <c r="C26" s="21" t="s">
        <v>11</v>
      </c>
      <c r="D26" s="32">
        <v>28233.35</v>
      </c>
      <c r="E26" s="15">
        <f t="shared" si="1"/>
        <v>-77.120000000002619</v>
      </c>
      <c r="F26" s="24">
        <v>-2.7240805256854598E-3</v>
      </c>
      <c r="G26" s="21">
        <v>11</v>
      </c>
      <c r="H26" s="25" t="s">
        <v>24</v>
      </c>
      <c r="I26" s="26">
        <v>45961</v>
      </c>
      <c r="J26" s="21" t="s">
        <v>18</v>
      </c>
      <c r="K26" s="18">
        <v>8339995492</v>
      </c>
      <c r="L26" s="12">
        <v>344046683.913297</v>
      </c>
      <c r="M26" s="4">
        <v>0.69166666666666599</v>
      </c>
    </row>
    <row r="27" spans="1:13" ht="17.25" thickBot="1" x14ac:dyDescent="0.3">
      <c r="A27">
        <v>25</v>
      </c>
      <c r="B27" t="s">
        <v>10</v>
      </c>
      <c r="C27" s="21" t="s">
        <v>11</v>
      </c>
      <c r="D27" s="33">
        <v>28233.35</v>
      </c>
      <c r="E27" s="14">
        <f t="shared" si="1"/>
        <v>-77.120000000002619</v>
      </c>
      <c r="F27" s="34">
        <v>-2.7240805256854598E-3</v>
      </c>
      <c r="G27" s="35">
        <v>11</v>
      </c>
      <c r="H27" s="36" t="s">
        <v>24</v>
      </c>
      <c r="I27" s="37">
        <v>45961</v>
      </c>
      <c r="J27" s="35" t="s">
        <v>25</v>
      </c>
      <c r="K27" s="5">
        <v>8339995492</v>
      </c>
      <c r="L27" s="9">
        <v>344046683.913297</v>
      </c>
      <c r="M27" s="6">
        <v>0.69166666666666599</v>
      </c>
    </row>
    <row r="28" spans="1:13" x14ac:dyDescent="0.25">
      <c r="A28">
        <v>26</v>
      </c>
      <c r="B28" t="s">
        <v>10</v>
      </c>
      <c r="C28" s="21" t="s">
        <v>11</v>
      </c>
      <c r="D28" s="27">
        <v>28212.84</v>
      </c>
      <c r="E28" s="13">
        <f t="shared" si="1"/>
        <v>-97.630000000001019</v>
      </c>
      <c r="F28" s="28">
        <v>-3.4485474808436901E-3</v>
      </c>
      <c r="G28" s="29">
        <v>10</v>
      </c>
      <c r="H28" s="30" t="s">
        <v>26</v>
      </c>
      <c r="I28" s="31">
        <v>46014</v>
      </c>
      <c r="J28" s="29" t="s">
        <v>25</v>
      </c>
      <c r="K28" s="2">
        <v>7965662925</v>
      </c>
      <c r="L28" s="8">
        <v>311520668.96848202</v>
      </c>
      <c r="M28" s="3">
        <v>0.57499999999999996</v>
      </c>
    </row>
    <row r="29" spans="1:13" x14ac:dyDescent="0.25">
      <c r="A29">
        <v>27</v>
      </c>
      <c r="B29" t="s">
        <v>10</v>
      </c>
      <c r="C29" s="21" t="s">
        <v>11</v>
      </c>
      <c r="D29" s="32">
        <v>28198.02</v>
      </c>
      <c r="E29" s="15">
        <f t="shared" si="1"/>
        <v>-112.45000000000073</v>
      </c>
      <c r="F29" s="24">
        <v>-3.9720287229424497E-3</v>
      </c>
      <c r="G29" s="21">
        <v>9</v>
      </c>
      <c r="H29" s="25" t="s">
        <v>27</v>
      </c>
      <c r="I29" s="26">
        <v>46003</v>
      </c>
      <c r="J29" s="21" t="s">
        <v>18</v>
      </c>
      <c r="K29" s="18">
        <v>8508400161</v>
      </c>
      <c r="L29" s="12">
        <v>253601211.94092399</v>
      </c>
      <c r="M29" s="4">
        <v>0.39583333333333298</v>
      </c>
    </row>
    <row r="30" spans="1:13" x14ac:dyDescent="0.25">
      <c r="A30">
        <v>28</v>
      </c>
      <c r="B30" t="s">
        <v>10</v>
      </c>
      <c r="C30" s="21" t="s">
        <v>11</v>
      </c>
      <c r="D30" s="32">
        <v>28196.33</v>
      </c>
      <c r="E30" s="15">
        <f t="shared" si="1"/>
        <v>-114.13999999999942</v>
      </c>
      <c r="F30" s="24">
        <v>-4.0317239523045504E-3</v>
      </c>
      <c r="G30" s="21">
        <v>10</v>
      </c>
      <c r="H30" s="25" t="s">
        <v>28</v>
      </c>
      <c r="I30" s="26">
        <v>45957</v>
      </c>
      <c r="J30" s="21" t="s">
        <v>12</v>
      </c>
      <c r="K30" s="18">
        <v>9337097751</v>
      </c>
      <c r="L30" s="12">
        <v>299664841.69425398</v>
      </c>
      <c r="M30" s="4">
        <v>0.53333333333333299</v>
      </c>
    </row>
    <row r="31" spans="1:13" x14ac:dyDescent="0.25">
      <c r="A31">
        <v>29</v>
      </c>
      <c r="B31" t="s">
        <v>10</v>
      </c>
      <c r="C31" s="21" t="s">
        <v>11</v>
      </c>
      <c r="D31" s="32">
        <v>28190.76</v>
      </c>
      <c r="E31" s="15">
        <f t="shared" si="1"/>
        <v>-119.71000000000276</v>
      </c>
      <c r="F31" s="24">
        <v>-4.2284709508532596E-3</v>
      </c>
      <c r="G31" s="21">
        <v>10</v>
      </c>
      <c r="H31" s="25" t="s">
        <v>28</v>
      </c>
      <c r="I31" s="26">
        <v>46001</v>
      </c>
      <c r="J31" s="21" t="s">
        <v>25</v>
      </c>
      <c r="K31" s="18">
        <v>8239950462</v>
      </c>
      <c r="L31" s="12">
        <v>299664841.69425398</v>
      </c>
      <c r="M31" s="4">
        <v>0.53333333333333299</v>
      </c>
    </row>
    <row r="32" spans="1:13" x14ac:dyDescent="0.25">
      <c r="A32">
        <v>30</v>
      </c>
      <c r="B32" t="s">
        <v>10</v>
      </c>
      <c r="C32" s="21" t="s">
        <v>11</v>
      </c>
      <c r="D32" s="32">
        <v>28190.76</v>
      </c>
      <c r="E32" s="15">
        <f t="shared" si="1"/>
        <v>-119.71000000000276</v>
      </c>
      <c r="F32" s="24">
        <v>-4.2284709508532596E-3</v>
      </c>
      <c r="G32" s="21">
        <v>10</v>
      </c>
      <c r="H32" s="25" t="s">
        <v>28</v>
      </c>
      <c r="I32" s="26">
        <v>46001</v>
      </c>
      <c r="J32" s="21" t="s">
        <v>21</v>
      </c>
      <c r="K32" s="18">
        <v>8239950462</v>
      </c>
      <c r="L32" s="12">
        <v>299664841.69425398</v>
      </c>
      <c r="M32" s="4">
        <v>0.53333333333333299</v>
      </c>
    </row>
    <row r="33" spans="1:13" x14ac:dyDescent="0.25">
      <c r="A33">
        <v>31</v>
      </c>
      <c r="B33" t="s">
        <v>10</v>
      </c>
      <c r="C33" s="21" t="s">
        <v>11</v>
      </c>
      <c r="D33" s="32">
        <v>28187.7</v>
      </c>
      <c r="E33" s="15">
        <f t="shared" si="1"/>
        <v>-122.77000000000044</v>
      </c>
      <c r="F33" s="24">
        <v>-4.3365581708816698E-3</v>
      </c>
      <c r="G33" s="21">
        <v>10</v>
      </c>
      <c r="H33" s="25" t="s">
        <v>29</v>
      </c>
      <c r="I33" s="26">
        <v>45972</v>
      </c>
      <c r="J33" s="21" t="s">
        <v>12</v>
      </c>
      <c r="K33" s="18">
        <v>8924063428</v>
      </c>
      <c r="L33" s="12">
        <v>285415867.79892999</v>
      </c>
      <c r="M33" s="4">
        <v>0.48958333333333298</v>
      </c>
    </row>
    <row r="34" spans="1:13" ht="17.25" thickBot="1" x14ac:dyDescent="0.3">
      <c r="A34">
        <v>32</v>
      </c>
      <c r="B34" t="s">
        <v>10</v>
      </c>
      <c r="C34" s="21" t="s">
        <v>11</v>
      </c>
      <c r="D34" s="33">
        <v>28182.6</v>
      </c>
      <c r="E34" s="14">
        <f t="shared" si="1"/>
        <v>-127.87000000000262</v>
      </c>
      <c r="F34" s="34">
        <v>-4.5167035375958996E-3</v>
      </c>
      <c r="G34" s="35">
        <v>10</v>
      </c>
      <c r="H34" s="36" t="s">
        <v>29</v>
      </c>
      <c r="I34" s="37">
        <v>46000</v>
      </c>
      <c r="J34" s="35" t="s">
        <v>18</v>
      </c>
      <c r="K34" s="5">
        <v>8116345692</v>
      </c>
      <c r="L34" s="9">
        <v>285415867.79892999</v>
      </c>
      <c r="M34" s="6">
        <v>0.48958333333333298</v>
      </c>
    </row>
    <row r="35" spans="1:13" x14ac:dyDescent="0.25">
      <c r="A35">
        <v>33</v>
      </c>
      <c r="B35" t="s">
        <v>10</v>
      </c>
      <c r="C35" s="21" t="s">
        <v>11</v>
      </c>
      <c r="D35" s="15">
        <v>28168.75</v>
      </c>
      <c r="E35" s="15">
        <f t="shared" si="1"/>
        <v>-141.72000000000116</v>
      </c>
      <c r="F35" s="24">
        <v>-5.0059218373979999E-3</v>
      </c>
      <c r="G35" s="21">
        <v>11</v>
      </c>
      <c r="H35" s="25" t="s">
        <v>30</v>
      </c>
      <c r="I35" s="26">
        <v>46013</v>
      </c>
      <c r="J35" s="21" t="s">
        <v>12</v>
      </c>
      <c r="K35" s="18">
        <v>8984157012</v>
      </c>
      <c r="L35" s="12">
        <v>334754969.40802503</v>
      </c>
      <c r="M35" s="19">
        <v>0.63333333333333297</v>
      </c>
    </row>
    <row r="36" spans="1:13" x14ac:dyDescent="0.25">
      <c r="A36">
        <v>34</v>
      </c>
      <c r="B36" t="s">
        <v>10</v>
      </c>
      <c r="C36" s="21" t="s">
        <v>11</v>
      </c>
      <c r="D36" s="15">
        <v>28157.91</v>
      </c>
      <c r="E36" s="15">
        <f t="shared" si="1"/>
        <v>-152.56000000000131</v>
      </c>
      <c r="F36" s="24">
        <v>-5.3888190482178902E-3</v>
      </c>
      <c r="G36" s="21">
        <v>11</v>
      </c>
      <c r="H36" s="25" t="s">
        <v>30</v>
      </c>
      <c r="I36" s="26">
        <v>45959</v>
      </c>
      <c r="J36" s="21" t="s">
        <v>21</v>
      </c>
      <c r="K36" s="18">
        <v>9076231278</v>
      </c>
      <c r="L36" s="12">
        <v>334754969.40802503</v>
      </c>
      <c r="M36" s="19">
        <v>0.63333333333333297</v>
      </c>
    </row>
    <row r="37" spans="1:13" x14ac:dyDescent="0.25">
      <c r="A37">
        <v>35</v>
      </c>
      <c r="B37" t="s">
        <v>10</v>
      </c>
      <c r="C37" s="21" t="s">
        <v>11</v>
      </c>
      <c r="D37" s="15">
        <v>28157.27</v>
      </c>
      <c r="E37" s="15">
        <f t="shared" si="1"/>
        <v>-153.20000000000073</v>
      </c>
      <c r="F37" s="24">
        <v>-5.4114255256094502E-3</v>
      </c>
      <c r="G37" s="21">
        <v>11</v>
      </c>
      <c r="H37" s="25" t="s">
        <v>30</v>
      </c>
      <c r="I37" s="26">
        <v>46000</v>
      </c>
      <c r="J37" s="21" t="s">
        <v>25</v>
      </c>
      <c r="K37" s="18">
        <v>8116345692</v>
      </c>
      <c r="L37" s="12">
        <v>334754969.40802503</v>
      </c>
      <c r="M37" s="19">
        <v>0.63333333333333297</v>
      </c>
    </row>
    <row r="38" spans="1:13" x14ac:dyDescent="0.25">
      <c r="A38">
        <v>36</v>
      </c>
      <c r="B38" t="s">
        <v>10</v>
      </c>
      <c r="C38" s="21" t="s">
        <v>11</v>
      </c>
      <c r="D38" s="15">
        <v>28150.45</v>
      </c>
      <c r="E38" s="15">
        <f t="shared" si="1"/>
        <v>-160.02000000000044</v>
      </c>
      <c r="F38" s="24">
        <v>-5.6523258003134602E-3</v>
      </c>
      <c r="G38" s="21">
        <v>10</v>
      </c>
      <c r="H38" s="25" t="s">
        <v>31</v>
      </c>
      <c r="I38" s="26">
        <v>45964</v>
      </c>
      <c r="J38" s="21" t="s">
        <v>25</v>
      </c>
      <c r="K38" s="18">
        <v>8299689369</v>
      </c>
      <c r="L38" s="12">
        <v>299916382.07059902</v>
      </c>
      <c r="M38" s="19">
        <v>0.54166666666666596</v>
      </c>
    </row>
    <row r="39" spans="1:13" x14ac:dyDescent="0.25">
      <c r="A39">
        <v>37</v>
      </c>
      <c r="B39" t="s">
        <v>10</v>
      </c>
      <c r="C39" s="21" t="s">
        <v>11</v>
      </c>
      <c r="D39" s="15">
        <v>28149.64</v>
      </c>
      <c r="E39" s="15">
        <f t="shared" si="1"/>
        <v>-160.83000000000175</v>
      </c>
      <c r="F39" s="24">
        <v>-5.6809371232622299E-3</v>
      </c>
      <c r="G39" s="21">
        <v>9</v>
      </c>
      <c r="H39" s="25" t="s">
        <v>32</v>
      </c>
      <c r="I39" s="26">
        <v>46013</v>
      </c>
      <c r="J39" s="21" t="s">
        <v>18</v>
      </c>
      <c r="K39" s="18">
        <v>8984157012</v>
      </c>
      <c r="L39" s="12">
        <v>275827192.51641101</v>
      </c>
      <c r="M39" s="19">
        <v>0.44791666666666602</v>
      </c>
    </row>
    <row r="40" spans="1:13" x14ac:dyDescent="0.25">
      <c r="A40">
        <v>38</v>
      </c>
      <c r="B40" t="s">
        <v>10</v>
      </c>
      <c r="C40" s="21" t="s">
        <v>11</v>
      </c>
      <c r="D40" s="15">
        <v>28139.65</v>
      </c>
      <c r="E40" s="15">
        <f t="shared" si="1"/>
        <v>-170.81999999999971</v>
      </c>
      <c r="F40" s="24">
        <v>-6.0338101062963499E-3</v>
      </c>
      <c r="G40" s="21">
        <v>9</v>
      </c>
      <c r="H40" s="25" t="s">
        <v>32</v>
      </c>
      <c r="I40" s="26">
        <v>45959</v>
      </c>
      <c r="J40" s="21" t="s">
        <v>25</v>
      </c>
      <c r="K40" s="18">
        <v>9076231278</v>
      </c>
      <c r="L40" s="12">
        <v>275827192.51641101</v>
      </c>
      <c r="M40" s="19">
        <v>0.44791666666666602</v>
      </c>
    </row>
    <row r="41" spans="1:13" x14ac:dyDescent="0.25">
      <c r="A41">
        <v>39</v>
      </c>
      <c r="B41" t="s">
        <v>10</v>
      </c>
      <c r="C41" s="21" t="s">
        <v>11</v>
      </c>
      <c r="D41" s="15">
        <v>28119.79</v>
      </c>
      <c r="E41" s="15">
        <f t="shared" si="1"/>
        <v>-190.68000000000029</v>
      </c>
      <c r="F41" s="24">
        <v>-6.7353173578538301E-3</v>
      </c>
      <c r="G41" s="21">
        <v>9</v>
      </c>
      <c r="H41" s="25" t="s">
        <v>33</v>
      </c>
      <c r="I41" s="26">
        <v>46006</v>
      </c>
      <c r="J41" s="21" t="s">
        <v>12</v>
      </c>
      <c r="K41" s="18">
        <v>7855274707</v>
      </c>
      <c r="L41" s="12">
        <v>258387438.500103</v>
      </c>
      <c r="M41" s="19">
        <v>0.40416666666666601</v>
      </c>
    </row>
    <row r="42" spans="1:13" x14ac:dyDescent="0.25">
      <c r="A42">
        <v>40</v>
      </c>
      <c r="B42" t="s">
        <v>10</v>
      </c>
      <c r="C42" s="21" t="s">
        <v>11</v>
      </c>
      <c r="D42" s="15">
        <v>28119.79</v>
      </c>
      <c r="E42" s="15">
        <f t="shared" si="1"/>
        <v>-190.68000000000029</v>
      </c>
      <c r="F42" s="24">
        <v>-6.7353173578538301E-3</v>
      </c>
      <c r="G42" s="21">
        <v>9</v>
      </c>
      <c r="H42" s="25" t="s">
        <v>33</v>
      </c>
      <c r="I42" s="26">
        <v>46006</v>
      </c>
      <c r="J42" s="21" t="s">
        <v>21</v>
      </c>
      <c r="K42" s="18">
        <v>7855274707</v>
      </c>
      <c r="L42" s="12">
        <v>258387438.500103</v>
      </c>
      <c r="M42" s="19">
        <v>0.40416666666666601</v>
      </c>
    </row>
    <row r="43" spans="1:13" x14ac:dyDescent="0.25">
      <c r="A43">
        <v>41</v>
      </c>
      <c r="B43" t="s">
        <v>10</v>
      </c>
      <c r="C43" s="21" t="s">
        <v>11</v>
      </c>
      <c r="D43" s="15">
        <v>28116.6</v>
      </c>
      <c r="E43" s="15">
        <f t="shared" si="1"/>
        <v>-193.87000000000262</v>
      </c>
      <c r="F43" s="24">
        <v>-6.84799651860257E-3</v>
      </c>
      <c r="G43" s="21">
        <v>9</v>
      </c>
      <c r="H43" s="25" t="s">
        <v>33</v>
      </c>
      <c r="I43" s="26">
        <v>45960</v>
      </c>
      <c r="J43" s="21" t="s">
        <v>25</v>
      </c>
      <c r="K43" s="18">
        <v>9446378341</v>
      </c>
      <c r="L43" s="12">
        <v>258387438.500103</v>
      </c>
      <c r="M43" s="19">
        <v>0.40416666666666601</v>
      </c>
    </row>
    <row r="44" spans="1:13" x14ac:dyDescent="0.25">
      <c r="A44">
        <v>42</v>
      </c>
      <c r="B44" t="s">
        <v>10</v>
      </c>
      <c r="C44" s="21" t="s">
        <v>11</v>
      </c>
      <c r="D44" s="15">
        <v>28116.560000000001</v>
      </c>
      <c r="E44" s="15">
        <f t="shared" si="1"/>
        <v>-193.90999999999985</v>
      </c>
      <c r="F44" s="24">
        <v>-6.84940942343945E-3</v>
      </c>
      <c r="G44" s="21">
        <v>8</v>
      </c>
      <c r="H44" s="25" t="s">
        <v>34</v>
      </c>
      <c r="I44" s="26">
        <v>45965</v>
      </c>
      <c r="J44" s="21" t="s">
        <v>18</v>
      </c>
      <c r="K44" s="18">
        <v>8404740088</v>
      </c>
      <c r="L44" s="12">
        <v>235408022.47159201</v>
      </c>
      <c r="M44" s="19">
        <v>0.38541666666666602</v>
      </c>
    </row>
    <row r="45" spans="1:13" x14ac:dyDescent="0.25">
      <c r="A45">
        <v>43</v>
      </c>
      <c r="B45" t="s">
        <v>10</v>
      </c>
      <c r="C45" s="21" t="s">
        <v>11</v>
      </c>
      <c r="D45" s="15">
        <v>28097.54</v>
      </c>
      <c r="E45" s="15">
        <f t="shared" si="1"/>
        <v>-212.93000000000029</v>
      </c>
      <c r="F45" s="24">
        <v>-7.5212456734204697E-3</v>
      </c>
      <c r="G45" s="21">
        <v>8</v>
      </c>
      <c r="H45" s="25" t="s">
        <v>34</v>
      </c>
      <c r="I45" s="26">
        <v>46003</v>
      </c>
      <c r="J45" s="21" t="s">
        <v>21</v>
      </c>
      <c r="K45" s="18">
        <v>8508400161</v>
      </c>
      <c r="L45" s="12">
        <v>235408022.47159201</v>
      </c>
      <c r="M45" s="19">
        <v>0.38541666666666602</v>
      </c>
    </row>
    <row r="46" spans="1:13" x14ac:dyDescent="0.25">
      <c r="A46">
        <v>44</v>
      </c>
      <c r="B46" t="s">
        <v>10</v>
      </c>
      <c r="C46" s="21" t="s">
        <v>11</v>
      </c>
      <c r="D46" s="15">
        <v>28087.93</v>
      </c>
      <c r="E46" s="15">
        <f t="shared" si="1"/>
        <v>-222.54000000000087</v>
      </c>
      <c r="F46" s="24">
        <v>-7.8606960605034394E-3</v>
      </c>
      <c r="G46" s="21">
        <v>9</v>
      </c>
      <c r="H46" s="25" t="s">
        <v>35</v>
      </c>
      <c r="I46" s="26">
        <v>45958</v>
      </c>
      <c r="J46" s="21" t="s">
        <v>12</v>
      </c>
      <c r="K46" s="18">
        <v>8579810711</v>
      </c>
      <c r="L46" s="12">
        <v>277817249.45493501</v>
      </c>
      <c r="M46" s="19">
        <v>0.454166666666666</v>
      </c>
    </row>
    <row r="47" spans="1:13" x14ac:dyDescent="0.25">
      <c r="A47">
        <v>45</v>
      </c>
      <c r="B47" t="s">
        <v>10</v>
      </c>
      <c r="C47" s="21" t="s">
        <v>11</v>
      </c>
      <c r="D47" s="15">
        <v>28071.759999999998</v>
      </c>
      <c r="E47" s="15">
        <f t="shared" si="1"/>
        <v>-238.71000000000276</v>
      </c>
      <c r="F47" s="24">
        <v>-8.4318628408501396E-3</v>
      </c>
      <c r="G47" s="21">
        <v>10</v>
      </c>
      <c r="H47" s="25" t="s">
        <v>36</v>
      </c>
      <c r="I47" s="26">
        <v>45973</v>
      </c>
      <c r="J47" s="21" t="s">
        <v>12</v>
      </c>
      <c r="K47" s="18">
        <v>8954069218</v>
      </c>
      <c r="L47" s="12">
        <v>310755997.31396902</v>
      </c>
      <c r="M47" s="19">
        <v>0.56874999999999998</v>
      </c>
    </row>
    <row r="48" spans="1:13" x14ac:dyDescent="0.25">
      <c r="A48">
        <v>46</v>
      </c>
      <c r="B48" t="s">
        <v>10</v>
      </c>
      <c r="C48" s="21" t="s">
        <v>11</v>
      </c>
      <c r="D48" s="15">
        <v>28071.34</v>
      </c>
      <c r="E48" s="15">
        <f t="shared" si="1"/>
        <v>-239.13000000000102</v>
      </c>
      <c r="F48" s="24">
        <v>-8.4466983416383E-3</v>
      </c>
      <c r="G48" s="21">
        <v>10</v>
      </c>
      <c r="H48" s="25" t="s">
        <v>36</v>
      </c>
      <c r="I48" s="26">
        <v>46003</v>
      </c>
      <c r="J48" s="21" t="s">
        <v>25</v>
      </c>
      <c r="K48" s="18">
        <v>8508400161</v>
      </c>
      <c r="L48" s="12">
        <v>310755997.31396902</v>
      </c>
      <c r="M48" s="19">
        <v>0.56874999999999998</v>
      </c>
    </row>
    <row r="49" spans="1:13" x14ac:dyDescent="0.25">
      <c r="A49">
        <v>47</v>
      </c>
      <c r="B49" t="s">
        <v>10</v>
      </c>
      <c r="C49" s="21" t="s">
        <v>11</v>
      </c>
      <c r="D49" s="15">
        <v>28061.53</v>
      </c>
      <c r="E49" s="15">
        <f t="shared" si="1"/>
        <v>-248.94000000000233</v>
      </c>
      <c r="F49" s="24">
        <v>-8.7932132529061607E-3</v>
      </c>
      <c r="G49" s="21">
        <v>10</v>
      </c>
      <c r="H49" s="25" t="s">
        <v>37</v>
      </c>
      <c r="I49" s="26">
        <v>45967</v>
      </c>
      <c r="J49" s="21" t="s">
        <v>12</v>
      </c>
      <c r="K49" s="18">
        <v>7863001986</v>
      </c>
      <c r="L49" s="12">
        <v>311610298.42775202</v>
      </c>
      <c r="M49" s="19">
        <v>0.58125000000000004</v>
      </c>
    </row>
    <row r="50" spans="1:13" x14ac:dyDescent="0.25">
      <c r="A50">
        <v>48</v>
      </c>
      <c r="B50" t="s">
        <v>10</v>
      </c>
      <c r="C50" s="21" t="s">
        <v>11</v>
      </c>
      <c r="D50" s="15">
        <v>28041.01</v>
      </c>
      <c r="E50" s="15">
        <f t="shared" si="1"/>
        <v>-269.46000000000276</v>
      </c>
      <c r="F50" s="24">
        <v>-9.5180334342737007E-3</v>
      </c>
      <c r="G50" s="21">
        <v>10</v>
      </c>
      <c r="H50" s="25" t="s">
        <v>37</v>
      </c>
      <c r="I50" s="26">
        <v>45958</v>
      </c>
      <c r="J50" s="21" t="s">
        <v>21</v>
      </c>
      <c r="K50" s="18">
        <v>8579810711</v>
      </c>
      <c r="L50" s="12">
        <v>311610298.42775202</v>
      </c>
      <c r="M50" s="19">
        <v>0.58125000000000004</v>
      </c>
    </row>
    <row r="51" spans="1:13" x14ac:dyDescent="0.25">
      <c r="A51">
        <v>49</v>
      </c>
      <c r="B51" t="s">
        <v>10</v>
      </c>
      <c r="C51" s="21" t="s">
        <v>11</v>
      </c>
      <c r="D51" s="15">
        <v>28038.240000000002</v>
      </c>
      <c r="E51" s="15">
        <f t="shared" si="1"/>
        <v>-272.22999999999956</v>
      </c>
      <c r="F51" s="24">
        <v>-9.61587709423402E-3</v>
      </c>
      <c r="G51" s="21">
        <v>11</v>
      </c>
      <c r="H51" s="25" t="s">
        <v>38</v>
      </c>
      <c r="I51" s="26">
        <v>45974</v>
      </c>
      <c r="J51" s="21" t="s">
        <v>12</v>
      </c>
      <c r="K51" s="18">
        <v>10545273898</v>
      </c>
      <c r="L51" s="12">
        <v>358182192.160914</v>
      </c>
      <c r="M51" s="19">
        <v>0.77083333333333304</v>
      </c>
    </row>
    <row r="52" spans="1:13" x14ac:dyDescent="0.25">
      <c r="A52">
        <v>50</v>
      </c>
      <c r="B52" t="s">
        <v>10</v>
      </c>
      <c r="C52" s="21" t="s">
        <v>11</v>
      </c>
      <c r="D52" s="15">
        <v>28034</v>
      </c>
      <c r="E52" s="15">
        <f t="shared" si="1"/>
        <v>-276.47000000000116</v>
      </c>
      <c r="F52" s="24">
        <v>-9.7656450069532903E-3</v>
      </c>
      <c r="G52" s="21">
        <v>11</v>
      </c>
      <c r="H52" s="25" t="s">
        <v>38</v>
      </c>
      <c r="I52" s="26">
        <v>45999</v>
      </c>
      <c r="J52" s="21" t="s">
        <v>21</v>
      </c>
      <c r="K52" s="18">
        <v>7603908443</v>
      </c>
      <c r="L52" s="12">
        <v>358182192.160914</v>
      </c>
      <c r="M52" s="19">
        <v>0.77083333333333304</v>
      </c>
    </row>
    <row r="53" spans="1:13" x14ac:dyDescent="0.25">
      <c r="A53">
        <v>51</v>
      </c>
      <c r="B53" t="s">
        <v>10</v>
      </c>
      <c r="C53" s="21" t="s">
        <v>11</v>
      </c>
      <c r="D53" s="15">
        <v>28033.62</v>
      </c>
      <c r="E53" s="15">
        <f t="shared" si="1"/>
        <v>-276.85000000000218</v>
      </c>
      <c r="F53" s="24">
        <v>-9.7790676029045794E-3</v>
      </c>
      <c r="G53" s="21">
        <v>11</v>
      </c>
      <c r="H53" s="25" t="s">
        <v>38</v>
      </c>
      <c r="I53" s="26">
        <v>45965</v>
      </c>
      <c r="J53" s="21" t="s">
        <v>25</v>
      </c>
      <c r="K53" s="18">
        <v>8404740088</v>
      </c>
      <c r="L53" s="12">
        <v>358182192.160914</v>
      </c>
      <c r="M53" s="19">
        <v>0.77083333333333304</v>
      </c>
    </row>
    <row r="54" spans="1:13" x14ac:dyDescent="0.25">
      <c r="A54">
        <v>52</v>
      </c>
      <c r="B54" t="s">
        <v>10</v>
      </c>
      <c r="C54" s="21" t="s">
        <v>11</v>
      </c>
      <c r="D54" s="15">
        <v>28031.54</v>
      </c>
      <c r="E54" s="15">
        <f t="shared" si="1"/>
        <v>-278.93000000000029</v>
      </c>
      <c r="F54" s="24">
        <v>-9.8525386544271506E-3</v>
      </c>
      <c r="G54" s="21">
        <v>10</v>
      </c>
      <c r="H54" s="25" t="s">
        <v>39</v>
      </c>
      <c r="I54" s="26">
        <v>45972</v>
      </c>
      <c r="J54" s="21" t="s">
        <v>21</v>
      </c>
      <c r="K54" s="18">
        <v>8924063428</v>
      </c>
      <c r="L54" s="12">
        <v>342049943.77227002</v>
      </c>
      <c r="M54" s="19">
        <v>0.67500000000000004</v>
      </c>
    </row>
    <row r="55" spans="1:13" x14ac:dyDescent="0.25">
      <c r="A55">
        <v>53</v>
      </c>
      <c r="B55" t="s">
        <v>10</v>
      </c>
      <c r="C55" s="21" t="s">
        <v>11</v>
      </c>
      <c r="D55" s="15">
        <v>28029.88</v>
      </c>
      <c r="E55" s="15">
        <f t="shared" si="1"/>
        <v>-280.59000000000015</v>
      </c>
      <c r="F55" s="24">
        <v>-9.9111742051615492E-3</v>
      </c>
      <c r="G55" s="21">
        <v>10</v>
      </c>
      <c r="H55" s="25" t="s">
        <v>39</v>
      </c>
      <c r="I55" s="26">
        <v>45957</v>
      </c>
      <c r="J55" s="21" t="s">
        <v>21</v>
      </c>
      <c r="K55" s="18">
        <v>9337097751</v>
      </c>
      <c r="L55" s="12">
        <v>342049943.77227002</v>
      </c>
      <c r="M55" s="19">
        <v>0.67500000000000004</v>
      </c>
    </row>
    <row r="56" spans="1:13" x14ac:dyDescent="0.25">
      <c r="A56">
        <v>54</v>
      </c>
      <c r="B56" t="s">
        <v>10</v>
      </c>
      <c r="C56" s="21" t="s">
        <v>11</v>
      </c>
      <c r="D56" s="15">
        <v>28026.39</v>
      </c>
      <c r="E56" s="15">
        <f t="shared" si="1"/>
        <v>-284.08000000000175</v>
      </c>
      <c r="F56" s="24">
        <v>-1.0034450152187501E-2</v>
      </c>
      <c r="G56" s="21">
        <v>10</v>
      </c>
      <c r="H56" s="25" t="s">
        <v>39</v>
      </c>
      <c r="I56" s="26">
        <v>45999</v>
      </c>
      <c r="J56" s="21" t="s">
        <v>25</v>
      </c>
      <c r="K56" s="18">
        <v>7603908443</v>
      </c>
      <c r="L56" s="12">
        <v>342049943.77227002</v>
      </c>
      <c r="M56" s="19">
        <v>0.67500000000000004</v>
      </c>
    </row>
    <row r="57" spans="1:13" x14ac:dyDescent="0.25">
      <c r="A57">
        <v>55</v>
      </c>
      <c r="B57" t="s">
        <v>10</v>
      </c>
      <c r="C57" s="21" t="s">
        <v>11</v>
      </c>
      <c r="D57" s="15">
        <v>28024.75</v>
      </c>
      <c r="E57" s="15">
        <f t="shared" si="1"/>
        <v>-285.72000000000116</v>
      </c>
      <c r="F57" s="24">
        <v>-1.00923792505034E-2</v>
      </c>
      <c r="G57" s="21">
        <v>9</v>
      </c>
      <c r="H57" s="25" t="s">
        <v>40</v>
      </c>
      <c r="I57" s="26">
        <v>46002</v>
      </c>
      <c r="J57" s="21" t="s">
        <v>18</v>
      </c>
      <c r="K57" s="18">
        <v>8087246896</v>
      </c>
      <c r="L57" s="12">
        <v>314637605.75359601</v>
      </c>
      <c r="M57" s="19">
        <v>0.59583333333333299</v>
      </c>
    </row>
    <row r="58" spans="1:13" x14ac:dyDescent="0.25">
      <c r="A58">
        <v>56</v>
      </c>
      <c r="B58" t="s">
        <v>10</v>
      </c>
      <c r="C58" s="21" t="s">
        <v>11</v>
      </c>
      <c r="D58" s="15">
        <v>27993.63</v>
      </c>
      <c r="E58" s="15">
        <f t="shared" si="1"/>
        <v>-316.84000000000015</v>
      </c>
      <c r="F58" s="24">
        <v>-1.1191619213669001E-2</v>
      </c>
      <c r="G58" s="21">
        <v>9</v>
      </c>
      <c r="H58" s="25" t="s">
        <v>40</v>
      </c>
      <c r="I58" s="26">
        <v>45957</v>
      </c>
      <c r="J58" s="21" t="s">
        <v>18</v>
      </c>
      <c r="K58" s="18">
        <v>9337097751</v>
      </c>
      <c r="L58" s="12">
        <v>314637605.75359601</v>
      </c>
      <c r="M58" s="19">
        <v>0.59583333333333299</v>
      </c>
    </row>
    <row r="59" spans="1:13" x14ac:dyDescent="0.25">
      <c r="A59">
        <v>57</v>
      </c>
      <c r="B59" t="s">
        <v>10</v>
      </c>
      <c r="C59" s="21" t="s">
        <v>11</v>
      </c>
      <c r="D59" s="15">
        <v>27993.63</v>
      </c>
      <c r="E59" s="15">
        <f t="shared" si="1"/>
        <v>-316.84000000000015</v>
      </c>
      <c r="F59" s="24">
        <v>-1.1191619213669001E-2</v>
      </c>
      <c r="G59" s="21">
        <v>9</v>
      </c>
      <c r="H59" s="25" t="s">
        <v>40</v>
      </c>
      <c r="I59" s="26">
        <v>45957</v>
      </c>
      <c r="J59" s="21" t="s">
        <v>25</v>
      </c>
      <c r="K59" s="18">
        <v>9337097751</v>
      </c>
      <c r="L59" s="12">
        <v>314637605.75359601</v>
      </c>
      <c r="M59" s="19">
        <v>0.59583333333333299</v>
      </c>
    </row>
    <row r="60" spans="1:13" x14ac:dyDescent="0.25">
      <c r="A60">
        <v>58</v>
      </c>
      <c r="B60" t="s">
        <v>10</v>
      </c>
      <c r="C60" s="21" t="s">
        <v>11</v>
      </c>
      <c r="D60" s="15">
        <v>27986.66</v>
      </c>
      <c r="E60" s="15">
        <f t="shared" si="1"/>
        <v>-323.81000000000131</v>
      </c>
      <c r="F60" s="24">
        <v>-1.14378178815117E-2</v>
      </c>
      <c r="G60" s="21">
        <v>8</v>
      </c>
      <c r="H60" s="25" t="s">
        <v>41</v>
      </c>
      <c r="I60" s="26">
        <v>46013</v>
      </c>
      <c r="J60" s="21" t="s">
        <v>25</v>
      </c>
      <c r="K60" s="18">
        <v>8984157012</v>
      </c>
      <c r="L60" s="12">
        <v>268573976.00026602</v>
      </c>
      <c r="M60" s="19">
        <v>0.422916666666666</v>
      </c>
    </row>
    <row r="61" spans="1:13" x14ac:dyDescent="0.25">
      <c r="A61">
        <v>59</v>
      </c>
      <c r="B61" t="s">
        <v>10</v>
      </c>
      <c r="C61" s="21" t="s">
        <v>11</v>
      </c>
      <c r="D61" s="15">
        <v>27986.66</v>
      </c>
      <c r="E61" s="15">
        <f t="shared" si="1"/>
        <v>-323.81000000000131</v>
      </c>
      <c r="F61" s="24">
        <v>-1.14378178815117E-2</v>
      </c>
      <c r="G61" s="21">
        <v>8</v>
      </c>
      <c r="H61" s="25" t="s">
        <v>41</v>
      </c>
      <c r="I61" s="26">
        <v>46013</v>
      </c>
      <c r="J61" s="21" t="s">
        <v>21</v>
      </c>
      <c r="K61" s="18">
        <v>8984157012</v>
      </c>
      <c r="L61" s="12">
        <v>268573976.00026602</v>
      </c>
      <c r="M61" s="19">
        <v>0.422916666666666</v>
      </c>
    </row>
    <row r="62" spans="1:13" x14ac:dyDescent="0.25">
      <c r="A62">
        <v>60</v>
      </c>
      <c r="B62" t="s">
        <v>10</v>
      </c>
      <c r="C62" s="21" t="s">
        <v>11</v>
      </c>
      <c r="D62" s="15">
        <v>27984.19</v>
      </c>
      <c r="E62" s="15">
        <f t="shared" si="1"/>
        <v>-326.28000000000247</v>
      </c>
      <c r="F62" s="24">
        <v>-1.1525064755194801E-2</v>
      </c>
      <c r="G62" s="21">
        <v>7</v>
      </c>
      <c r="H62" s="25" t="s">
        <v>42</v>
      </c>
      <c r="I62" s="26">
        <v>46002</v>
      </c>
      <c r="J62" s="21" t="s">
        <v>25</v>
      </c>
      <c r="K62" s="18">
        <v>8087246896</v>
      </c>
      <c r="L62" s="12">
        <v>219234874.39117199</v>
      </c>
      <c r="M62" s="19">
        <v>0.37083333333333302</v>
      </c>
    </row>
    <row r="63" spans="1:13" x14ac:dyDescent="0.25">
      <c r="A63">
        <v>61</v>
      </c>
      <c r="B63" t="s">
        <v>10</v>
      </c>
      <c r="C63" s="21" t="s">
        <v>11</v>
      </c>
      <c r="D63" s="15">
        <v>27980.89</v>
      </c>
      <c r="E63" s="15">
        <f t="shared" si="1"/>
        <v>-329.58000000000175</v>
      </c>
      <c r="F63" s="24">
        <v>-1.16416294042452E-2</v>
      </c>
      <c r="G63" s="21">
        <v>7</v>
      </c>
      <c r="H63" s="25" t="s">
        <v>43</v>
      </c>
      <c r="I63" s="26">
        <v>45996</v>
      </c>
      <c r="J63" s="21" t="s">
        <v>18</v>
      </c>
      <c r="K63" s="18">
        <v>6781520261</v>
      </c>
      <c r="L63" s="12">
        <v>233360539.53721699</v>
      </c>
      <c r="M63" s="19">
        <v>0.37708333333333299</v>
      </c>
    </row>
    <row r="64" spans="1:13" x14ac:dyDescent="0.25">
      <c r="A64">
        <v>62</v>
      </c>
      <c r="B64" t="s">
        <v>10</v>
      </c>
      <c r="C64" s="21" t="s">
        <v>11</v>
      </c>
      <c r="D64" s="15">
        <v>27980.89</v>
      </c>
      <c r="E64" s="15">
        <f t="shared" si="1"/>
        <v>-329.58000000000175</v>
      </c>
      <c r="F64" s="24">
        <v>-1.16416294042452E-2</v>
      </c>
      <c r="G64" s="21">
        <v>7</v>
      </c>
      <c r="H64" s="25" t="s">
        <v>43</v>
      </c>
      <c r="I64" s="26">
        <v>45996</v>
      </c>
      <c r="J64" s="21" t="s">
        <v>12</v>
      </c>
      <c r="K64" s="18">
        <v>6781520261</v>
      </c>
      <c r="L64" s="12">
        <v>233360539.53721699</v>
      </c>
      <c r="M64" s="19">
        <v>0.37708333333333299</v>
      </c>
    </row>
    <row r="65" spans="1:13" x14ac:dyDescent="0.25">
      <c r="A65">
        <v>63</v>
      </c>
      <c r="B65" t="s">
        <v>10</v>
      </c>
      <c r="C65" s="21" t="s">
        <v>11</v>
      </c>
      <c r="D65" s="15">
        <v>27976.89</v>
      </c>
      <c r="E65" s="15">
        <f t="shared" si="1"/>
        <v>-333.58000000000175</v>
      </c>
      <c r="F65" s="24">
        <v>-1.17829198879425E-2</v>
      </c>
      <c r="G65" s="21">
        <v>8</v>
      </c>
      <c r="H65" s="25" t="s">
        <v>44</v>
      </c>
      <c r="I65" s="26">
        <v>45971</v>
      </c>
      <c r="J65" s="21" t="s">
        <v>12</v>
      </c>
      <c r="K65" s="18">
        <v>7491028505</v>
      </c>
      <c r="L65" s="12">
        <v>258635620.53121099</v>
      </c>
      <c r="M65" s="19">
        <v>0.41249999999999998</v>
      </c>
    </row>
    <row r="66" spans="1:13" x14ac:dyDescent="0.25">
      <c r="A66">
        <v>64</v>
      </c>
      <c r="B66" t="s">
        <v>10</v>
      </c>
      <c r="C66" s="21" t="s">
        <v>11</v>
      </c>
      <c r="D66" s="15">
        <v>27969.05</v>
      </c>
      <c r="E66" s="15">
        <f t="shared" si="1"/>
        <v>-341.42000000000189</v>
      </c>
      <c r="F66" s="24">
        <v>-1.2059849235989401E-2</v>
      </c>
      <c r="G66" s="21">
        <v>9</v>
      </c>
      <c r="H66" s="25" t="s">
        <v>45</v>
      </c>
      <c r="I66" s="26">
        <v>45951</v>
      </c>
      <c r="J66" s="21" t="s">
        <v>12</v>
      </c>
      <c r="K66" s="18">
        <v>8507303277</v>
      </c>
      <c r="L66" s="12">
        <v>296195458.39876002</v>
      </c>
      <c r="M66" s="19">
        <v>0.51249999999999996</v>
      </c>
    </row>
    <row r="67" spans="1:13" x14ac:dyDescent="0.25">
      <c r="A67">
        <v>65</v>
      </c>
      <c r="B67" t="s">
        <v>10</v>
      </c>
      <c r="C67" s="21" t="s">
        <v>11</v>
      </c>
      <c r="D67" s="15">
        <v>27949.11</v>
      </c>
      <c r="E67" s="15">
        <f t="shared" si="1"/>
        <v>-361.36000000000058</v>
      </c>
      <c r="F67" s="24">
        <v>-1.2764182297220801E-2</v>
      </c>
      <c r="G67" s="21">
        <v>9</v>
      </c>
      <c r="H67" s="25" t="s">
        <v>45</v>
      </c>
      <c r="I67" s="26">
        <v>45958</v>
      </c>
      <c r="J67" s="21" t="s">
        <v>18</v>
      </c>
      <c r="K67" s="18">
        <v>8579810711</v>
      </c>
      <c r="L67" s="12">
        <v>296195458.39876002</v>
      </c>
      <c r="M67" s="19">
        <v>0.51249999999999996</v>
      </c>
    </row>
    <row r="68" spans="1:13" x14ac:dyDescent="0.25">
      <c r="A68">
        <v>66</v>
      </c>
      <c r="B68" t="s">
        <v>10</v>
      </c>
      <c r="C68" s="21" t="s">
        <v>11</v>
      </c>
      <c r="D68" s="15">
        <v>27947.09</v>
      </c>
      <c r="E68" s="15">
        <f t="shared" si="1"/>
        <v>-363.38000000000102</v>
      </c>
      <c r="F68" s="24">
        <v>-1.28355339914879E-2</v>
      </c>
      <c r="G68" s="21">
        <v>9</v>
      </c>
      <c r="H68" s="25" t="s">
        <v>45</v>
      </c>
      <c r="I68" s="26">
        <v>45973</v>
      </c>
      <c r="J68" s="21" t="s">
        <v>18</v>
      </c>
      <c r="K68" s="18">
        <v>8954069218</v>
      </c>
      <c r="L68" s="12">
        <v>296195458.39876002</v>
      </c>
      <c r="M68" s="19">
        <v>0.51249999999999996</v>
      </c>
    </row>
    <row r="69" spans="1:13" x14ac:dyDescent="0.25">
      <c r="A69">
        <v>67</v>
      </c>
      <c r="B69" t="s">
        <v>10</v>
      </c>
      <c r="C69" s="21" t="s">
        <v>11</v>
      </c>
      <c r="D69" s="15">
        <v>27906.44</v>
      </c>
      <c r="E69" s="15">
        <f t="shared" si="1"/>
        <v>-404.03000000000247</v>
      </c>
      <c r="F69" s="24">
        <v>-1.42713985320626E-2</v>
      </c>
      <c r="G69" s="21">
        <v>9</v>
      </c>
      <c r="H69" s="25" t="s">
        <v>45</v>
      </c>
      <c r="I69" s="26">
        <v>45967</v>
      </c>
      <c r="J69" s="21" t="s">
        <v>21</v>
      </c>
      <c r="K69" s="18">
        <v>7863001986</v>
      </c>
      <c r="L69" s="12">
        <v>296195458.39876002</v>
      </c>
      <c r="M69" s="19">
        <v>0.51249999999999996</v>
      </c>
    </row>
    <row r="70" spans="1:13" x14ac:dyDescent="0.25">
      <c r="A70">
        <v>68</v>
      </c>
      <c r="B70" t="s">
        <v>10</v>
      </c>
      <c r="C70" s="21" t="s">
        <v>11</v>
      </c>
      <c r="D70" s="15">
        <v>27903.56</v>
      </c>
      <c r="E70" s="15">
        <f t="shared" ref="E70:E133" si="2">D70-D$17</f>
        <v>-406.90999999999985</v>
      </c>
      <c r="F70" s="24">
        <v>-1.43731276803246E-2</v>
      </c>
      <c r="G70" s="21">
        <v>9</v>
      </c>
      <c r="H70" s="25" t="s">
        <v>45</v>
      </c>
      <c r="I70" s="26">
        <v>45974</v>
      </c>
      <c r="J70" s="21" t="s">
        <v>18</v>
      </c>
      <c r="K70" s="18">
        <v>10545273898</v>
      </c>
      <c r="L70" s="12">
        <v>296195458.39876002</v>
      </c>
      <c r="M70" s="19">
        <v>0.51249999999999996</v>
      </c>
    </row>
    <row r="71" spans="1:13" x14ac:dyDescent="0.25">
      <c r="A71">
        <v>69</v>
      </c>
      <c r="B71" t="s">
        <v>10</v>
      </c>
      <c r="C71" s="21" t="s">
        <v>11</v>
      </c>
      <c r="D71" s="15">
        <v>27899.45</v>
      </c>
      <c r="E71" s="15">
        <f t="shared" si="2"/>
        <v>-411.02000000000044</v>
      </c>
      <c r="F71" s="24">
        <v>-1.4518303652323599E-2</v>
      </c>
      <c r="G71" s="21">
        <v>9</v>
      </c>
      <c r="H71" s="25" t="s">
        <v>45</v>
      </c>
      <c r="I71" s="26">
        <v>45967</v>
      </c>
      <c r="J71" s="21" t="s">
        <v>18</v>
      </c>
      <c r="K71" s="18">
        <v>7863001986</v>
      </c>
      <c r="L71" s="12">
        <v>296195458.39876002</v>
      </c>
      <c r="M71" s="19">
        <v>0.51249999999999996</v>
      </c>
    </row>
    <row r="72" spans="1:13" x14ac:dyDescent="0.25">
      <c r="A72">
        <v>70</v>
      </c>
      <c r="B72" t="s">
        <v>10</v>
      </c>
      <c r="C72" s="21" t="s">
        <v>11</v>
      </c>
      <c r="D72" s="15">
        <v>27885.62</v>
      </c>
      <c r="E72" s="15">
        <f t="shared" si="2"/>
        <v>-424.85000000000218</v>
      </c>
      <c r="F72" s="24">
        <v>-1.50068154997074E-2</v>
      </c>
      <c r="G72" s="21">
        <v>9</v>
      </c>
      <c r="H72" s="25" t="s">
        <v>45</v>
      </c>
      <c r="I72" s="26">
        <v>45958</v>
      </c>
      <c r="J72" s="21" t="s">
        <v>25</v>
      </c>
      <c r="K72" s="18">
        <v>8579810711</v>
      </c>
      <c r="L72" s="12">
        <v>296195458.39876002</v>
      </c>
      <c r="M72" s="19">
        <v>0.51249999999999996</v>
      </c>
    </row>
    <row r="73" spans="1:13" x14ac:dyDescent="0.25">
      <c r="A73">
        <v>71</v>
      </c>
      <c r="B73" t="s">
        <v>10</v>
      </c>
      <c r="C73" s="21" t="s">
        <v>11</v>
      </c>
      <c r="D73" s="15">
        <v>27880.23</v>
      </c>
      <c r="E73" s="15">
        <f t="shared" si="2"/>
        <v>-430.2400000000016</v>
      </c>
      <c r="F73" s="24">
        <v>-1.5197204426489599E-2</v>
      </c>
      <c r="G73" s="21">
        <v>9</v>
      </c>
      <c r="H73" s="25" t="s">
        <v>46</v>
      </c>
      <c r="I73" s="26">
        <v>45995</v>
      </c>
      <c r="J73" s="21" t="s">
        <v>12</v>
      </c>
      <c r="K73" s="18">
        <v>6475222009</v>
      </c>
      <c r="L73" s="12">
        <v>280367602.55252802</v>
      </c>
      <c r="M73" s="19">
        <v>0.46041666666666597</v>
      </c>
    </row>
    <row r="74" spans="1:13" x14ac:dyDescent="0.25">
      <c r="A74">
        <v>72</v>
      </c>
      <c r="B74" t="s">
        <v>10</v>
      </c>
      <c r="C74" s="21" t="s">
        <v>11</v>
      </c>
      <c r="D74" s="15">
        <v>27879.7</v>
      </c>
      <c r="E74" s="15">
        <f t="shared" si="2"/>
        <v>-430.77000000000044</v>
      </c>
      <c r="F74" s="24">
        <v>-1.5215925415579401E-2</v>
      </c>
      <c r="G74" s="21">
        <v>9</v>
      </c>
      <c r="H74" s="25" t="s">
        <v>46</v>
      </c>
      <c r="I74" s="26">
        <v>45967</v>
      </c>
      <c r="J74" s="21" t="s">
        <v>25</v>
      </c>
      <c r="K74" s="18">
        <v>7863001986</v>
      </c>
      <c r="L74" s="12">
        <v>280367602.55252802</v>
      </c>
      <c r="M74" s="19">
        <v>0.46041666666666597</v>
      </c>
    </row>
    <row r="75" spans="1:13" x14ac:dyDescent="0.25">
      <c r="A75">
        <v>73</v>
      </c>
      <c r="B75" t="s">
        <v>10</v>
      </c>
      <c r="C75" s="21" t="s">
        <v>11</v>
      </c>
      <c r="D75" s="15">
        <v>27869.78</v>
      </c>
      <c r="E75" s="15">
        <f t="shared" si="2"/>
        <v>-440.69000000000233</v>
      </c>
      <c r="F75" s="24">
        <v>-1.5566325815148999E-2</v>
      </c>
      <c r="G75" s="21">
        <v>9</v>
      </c>
      <c r="H75" s="25" t="s">
        <v>47</v>
      </c>
      <c r="I75" s="26">
        <v>46010</v>
      </c>
      <c r="J75" s="21" t="s">
        <v>12</v>
      </c>
      <c r="K75" s="18">
        <v>9145168124</v>
      </c>
      <c r="L75" s="12">
        <v>283374689.52308601</v>
      </c>
      <c r="M75" s="19">
        <v>0.47499999999999998</v>
      </c>
    </row>
    <row r="76" spans="1:13" x14ac:dyDescent="0.25">
      <c r="A76">
        <v>74</v>
      </c>
      <c r="B76" t="s">
        <v>10</v>
      </c>
      <c r="C76" s="21" t="s">
        <v>11</v>
      </c>
      <c r="D76" s="15">
        <v>27869.51</v>
      </c>
      <c r="E76" s="15">
        <f t="shared" si="2"/>
        <v>-440.96000000000276</v>
      </c>
      <c r="F76" s="24">
        <v>-1.5575862922798601E-2</v>
      </c>
      <c r="G76" s="21">
        <v>9</v>
      </c>
      <c r="H76" s="25" t="s">
        <v>47</v>
      </c>
      <c r="I76" s="26">
        <v>45971</v>
      </c>
      <c r="J76" s="21" t="s">
        <v>18</v>
      </c>
      <c r="K76" s="18">
        <v>7491028505</v>
      </c>
      <c r="L76" s="12">
        <v>283374689.52308601</v>
      </c>
      <c r="M76" s="19">
        <v>0.47499999999999998</v>
      </c>
    </row>
    <row r="77" spans="1:13" x14ac:dyDescent="0.25">
      <c r="A77">
        <v>75</v>
      </c>
      <c r="B77" t="s">
        <v>10</v>
      </c>
      <c r="C77" s="21" t="s">
        <v>11</v>
      </c>
      <c r="D77" s="15">
        <v>27867.59</v>
      </c>
      <c r="E77" s="15">
        <f t="shared" si="2"/>
        <v>-442.88000000000102</v>
      </c>
      <c r="F77" s="24">
        <v>-1.56436823549733E-2</v>
      </c>
      <c r="G77" s="21">
        <v>9</v>
      </c>
      <c r="H77" s="25" t="s">
        <v>47</v>
      </c>
      <c r="I77" s="26">
        <v>45974</v>
      </c>
      <c r="J77" s="21" t="s">
        <v>21</v>
      </c>
      <c r="K77" s="18">
        <v>10545273898</v>
      </c>
      <c r="L77" s="12">
        <v>283374689.52308601</v>
      </c>
      <c r="M77" s="19">
        <v>0.47499999999999998</v>
      </c>
    </row>
    <row r="78" spans="1:13" x14ac:dyDescent="0.25">
      <c r="A78">
        <v>76</v>
      </c>
      <c r="B78" t="s">
        <v>10</v>
      </c>
      <c r="C78" s="21" t="s">
        <v>11</v>
      </c>
      <c r="D78" s="15">
        <v>27866.94</v>
      </c>
      <c r="E78" s="15">
        <f t="shared" si="2"/>
        <v>-443.53000000000247</v>
      </c>
      <c r="F78" s="24">
        <v>-1.5666642058574098E-2</v>
      </c>
      <c r="G78" s="21">
        <v>9</v>
      </c>
      <c r="H78" s="25" t="s">
        <v>47</v>
      </c>
      <c r="I78" s="26">
        <v>46006</v>
      </c>
      <c r="J78" s="21" t="s">
        <v>18</v>
      </c>
      <c r="K78" s="18">
        <v>7855274707</v>
      </c>
      <c r="L78" s="12">
        <v>283374689.52308601</v>
      </c>
      <c r="M78" s="19">
        <v>0.47499999999999998</v>
      </c>
    </row>
    <row r="79" spans="1:13" x14ac:dyDescent="0.25">
      <c r="A79">
        <v>77</v>
      </c>
      <c r="B79" t="s">
        <v>10</v>
      </c>
      <c r="C79" s="21" t="s">
        <v>11</v>
      </c>
      <c r="D79" s="15">
        <v>27853.47</v>
      </c>
      <c r="E79" s="15">
        <f t="shared" si="2"/>
        <v>-457</v>
      </c>
      <c r="F79" s="24">
        <v>-1.61424377624249E-2</v>
      </c>
      <c r="G79" s="21">
        <v>9</v>
      </c>
      <c r="H79" s="25" t="s">
        <v>47</v>
      </c>
      <c r="I79" s="26">
        <v>45973</v>
      </c>
      <c r="J79" s="21" t="s">
        <v>21</v>
      </c>
      <c r="K79" s="18">
        <v>8954069218</v>
      </c>
      <c r="L79" s="12">
        <v>283374689.52308601</v>
      </c>
      <c r="M79" s="19">
        <v>0.47499999999999998</v>
      </c>
    </row>
    <row r="80" spans="1:13" x14ac:dyDescent="0.25">
      <c r="A80">
        <v>78</v>
      </c>
      <c r="B80" t="s">
        <v>10</v>
      </c>
      <c r="C80" s="21" t="s">
        <v>11</v>
      </c>
      <c r="D80" s="15">
        <v>27847.67</v>
      </c>
      <c r="E80" s="15">
        <f t="shared" si="2"/>
        <v>-462.80000000000291</v>
      </c>
      <c r="F80" s="24">
        <v>-1.6347308963786202E-2</v>
      </c>
      <c r="G80" s="21">
        <v>10</v>
      </c>
      <c r="H80" s="25" t="s">
        <v>48</v>
      </c>
      <c r="I80" s="26">
        <v>45994</v>
      </c>
      <c r="J80" s="21" t="s">
        <v>12</v>
      </c>
      <c r="K80" s="18">
        <v>6838633055</v>
      </c>
      <c r="L80" s="12">
        <v>311628833.69347101</v>
      </c>
      <c r="M80" s="19">
        <v>0.58750000000000002</v>
      </c>
    </row>
    <row r="81" spans="1:13" x14ac:dyDescent="0.25">
      <c r="A81">
        <v>79</v>
      </c>
      <c r="B81" t="s">
        <v>10</v>
      </c>
      <c r="C81" s="21" t="s">
        <v>11</v>
      </c>
      <c r="D81" s="15">
        <v>27818.54</v>
      </c>
      <c r="E81" s="15">
        <f t="shared" si="2"/>
        <v>-491.93000000000029</v>
      </c>
      <c r="F81" s="24">
        <v>-1.73762569113123E-2</v>
      </c>
      <c r="G81" s="21">
        <v>11</v>
      </c>
      <c r="H81" s="25" t="s">
        <v>49</v>
      </c>
      <c r="I81" s="26">
        <v>45968</v>
      </c>
      <c r="J81" s="21" t="s">
        <v>12</v>
      </c>
      <c r="K81" s="18">
        <v>7878592276</v>
      </c>
      <c r="L81" s="12">
        <v>351609511.03032202</v>
      </c>
      <c r="M81" s="19">
        <v>0.73541666666666605</v>
      </c>
    </row>
    <row r="82" spans="1:13" x14ac:dyDescent="0.25">
      <c r="A82">
        <v>80</v>
      </c>
      <c r="B82" t="s">
        <v>10</v>
      </c>
      <c r="C82" s="21" t="s">
        <v>11</v>
      </c>
      <c r="D82" s="15">
        <v>27818.54</v>
      </c>
      <c r="E82" s="15">
        <f t="shared" si="2"/>
        <v>-491.93000000000029</v>
      </c>
      <c r="F82" s="24">
        <v>-1.73762569113123E-2</v>
      </c>
      <c r="G82" s="21">
        <v>11</v>
      </c>
      <c r="H82" s="25" t="s">
        <v>49</v>
      </c>
      <c r="I82" s="26">
        <v>45968</v>
      </c>
      <c r="J82" s="21" t="s">
        <v>21</v>
      </c>
      <c r="K82" s="18">
        <v>7878592276</v>
      </c>
      <c r="L82" s="12">
        <v>351609511.03032202</v>
      </c>
      <c r="M82" s="19">
        <v>0.73541666666666605</v>
      </c>
    </row>
    <row r="83" spans="1:13" x14ac:dyDescent="0.25">
      <c r="A83">
        <v>81</v>
      </c>
      <c r="B83" t="s">
        <v>10</v>
      </c>
      <c r="C83" s="21" t="s">
        <v>11</v>
      </c>
      <c r="D83" s="15">
        <v>27816.45</v>
      </c>
      <c r="E83" s="15">
        <f t="shared" si="2"/>
        <v>-494.02000000000044</v>
      </c>
      <c r="F83" s="24">
        <v>-1.74500811890442E-2</v>
      </c>
      <c r="G83" s="21">
        <v>12</v>
      </c>
      <c r="H83" s="25" t="s">
        <v>50</v>
      </c>
      <c r="I83" s="26">
        <v>45975</v>
      </c>
      <c r="J83" s="21" t="s">
        <v>12</v>
      </c>
      <c r="K83" s="18">
        <v>9939352945</v>
      </c>
      <c r="L83" s="12">
        <v>374558306.82122999</v>
      </c>
      <c r="M83" s="19">
        <v>0.82499999999999996</v>
      </c>
    </row>
    <row r="84" spans="1:13" x14ac:dyDescent="0.25">
      <c r="A84">
        <v>82</v>
      </c>
      <c r="B84" t="s">
        <v>10</v>
      </c>
      <c r="C84" s="21" t="s">
        <v>11</v>
      </c>
      <c r="D84" s="15">
        <v>27816.45</v>
      </c>
      <c r="E84" s="15">
        <f t="shared" si="2"/>
        <v>-494.02000000000044</v>
      </c>
      <c r="F84" s="24">
        <v>-1.74500811890442E-2</v>
      </c>
      <c r="G84" s="21">
        <v>12</v>
      </c>
      <c r="H84" s="25" t="s">
        <v>50</v>
      </c>
      <c r="I84" s="26">
        <v>45975</v>
      </c>
      <c r="J84" s="21" t="s">
        <v>21</v>
      </c>
      <c r="K84" s="18">
        <v>9939352945</v>
      </c>
      <c r="L84" s="12">
        <v>374558306.82122999</v>
      </c>
      <c r="M84" s="19">
        <v>0.82499999999999996</v>
      </c>
    </row>
    <row r="85" spans="1:13" x14ac:dyDescent="0.25">
      <c r="A85">
        <v>83</v>
      </c>
      <c r="B85" t="s">
        <v>10</v>
      </c>
      <c r="C85" s="21" t="s">
        <v>11</v>
      </c>
      <c r="D85" s="15">
        <v>27811.81</v>
      </c>
      <c r="E85" s="15">
        <f t="shared" si="2"/>
        <v>-498.65999999999985</v>
      </c>
      <c r="F85" s="24">
        <v>-1.7613978150133099E-2</v>
      </c>
      <c r="G85" s="21">
        <v>12</v>
      </c>
      <c r="H85" s="25" t="s">
        <v>50</v>
      </c>
      <c r="I85" s="26">
        <v>45974</v>
      </c>
      <c r="J85" s="21" t="s">
        <v>25</v>
      </c>
      <c r="K85" s="18">
        <v>10545273898</v>
      </c>
      <c r="L85" s="12">
        <v>374558306.82122999</v>
      </c>
      <c r="M85" s="19">
        <v>0.82499999999999996</v>
      </c>
    </row>
    <row r="86" spans="1:13" x14ac:dyDescent="0.25">
      <c r="A86">
        <v>84</v>
      </c>
      <c r="B86" t="s">
        <v>10</v>
      </c>
      <c r="C86" s="21" t="s">
        <v>11</v>
      </c>
      <c r="D86" s="15">
        <v>27805.47</v>
      </c>
      <c r="E86" s="15">
        <f t="shared" si="2"/>
        <v>-505</v>
      </c>
      <c r="F86" s="24">
        <v>-1.7837923566793399E-2</v>
      </c>
      <c r="G86" s="21">
        <v>11</v>
      </c>
      <c r="H86" s="25" t="s">
        <v>51</v>
      </c>
      <c r="I86" s="26">
        <v>45971</v>
      </c>
      <c r="J86" s="21" t="s">
        <v>21</v>
      </c>
      <c r="K86" s="18">
        <v>7491028505</v>
      </c>
      <c r="L86" s="12">
        <v>327986413.088067</v>
      </c>
      <c r="M86" s="19">
        <v>0.62291666666666601</v>
      </c>
    </row>
    <row r="87" spans="1:13" x14ac:dyDescent="0.25">
      <c r="A87">
        <v>85</v>
      </c>
      <c r="B87" t="s">
        <v>10</v>
      </c>
      <c r="C87" s="21" t="s">
        <v>11</v>
      </c>
      <c r="D87" s="15">
        <v>27799.919999999998</v>
      </c>
      <c r="E87" s="15">
        <f t="shared" si="2"/>
        <v>-510.55000000000291</v>
      </c>
      <c r="F87" s="24">
        <v>-1.8033964112923601E-2</v>
      </c>
      <c r="G87" s="21">
        <v>11</v>
      </c>
      <c r="H87" s="25" t="s">
        <v>51</v>
      </c>
      <c r="I87" s="26">
        <v>45973</v>
      </c>
      <c r="J87" s="21" t="s">
        <v>25</v>
      </c>
      <c r="K87" s="18">
        <v>8954069218</v>
      </c>
      <c r="L87" s="12">
        <v>327986413.088067</v>
      </c>
      <c r="M87" s="19">
        <v>0.62291666666666601</v>
      </c>
    </row>
    <row r="88" spans="1:13" x14ac:dyDescent="0.25">
      <c r="A88">
        <v>86</v>
      </c>
      <c r="B88" t="s">
        <v>10</v>
      </c>
      <c r="C88" s="21" t="s">
        <v>11</v>
      </c>
      <c r="D88" s="15">
        <v>27799.09</v>
      </c>
      <c r="E88" s="15">
        <f t="shared" si="2"/>
        <v>-511.38000000000102</v>
      </c>
      <c r="F88" s="24">
        <v>-1.8063281888290799E-2</v>
      </c>
      <c r="G88" s="21">
        <v>11</v>
      </c>
      <c r="H88" s="25" t="s">
        <v>52</v>
      </c>
      <c r="I88" s="26">
        <v>45966</v>
      </c>
      <c r="J88" s="21" t="s">
        <v>12</v>
      </c>
      <c r="K88" s="18">
        <v>8989778518</v>
      </c>
      <c r="L88" s="12">
        <v>316148450.40882802</v>
      </c>
      <c r="M88" s="19">
        <v>0.60416666666666596</v>
      </c>
    </row>
    <row r="89" spans="1:13" x14ac:dyDescent="0.25">
      <c r="A89">
        <v>87</v>
      </c>
      <c r="B89" t="s">
        <v>10</v>
      </c>
      <c r="C89" s="21" t="s">
        <v>11</v>
      </c>
      <c r="D89" s="15">
        <v>27796.9</v>
      </c>
      <c r="E89" s="15">
        <f t="shared" si="2"/>
        <v>-513.56999999999971</v>
      </c>
      <c r="F89" s="24">
        <v>-1.81406384281151E-2</v>
      </c>
      <c r="G89" s="21">
        <v>12</v>
      </c>
      <c r="H89" s="25" t="s">
        <v>53</v>
      </c>
      <c r="I89" s="26">
        <v>45989</v>
      </c>
      <c r="J89" s="21" t="s">
        <v>12</v>
      </c>
      <c r="K89" s="18">
        <v>7671742311</v>
      </c>
      <c r="L89" s="12">
        <v>349391115.76544398</v>
      </c>
      <c r="M89" s="19">
        <v>0.71666666666666601</v>
      </c>
    </row>
    <row r="90" spans="1:13" x14ac:dyDescent="0.25">
      <c r="A90">
        <v>88</v>
      </c>
      <c r="B90" t="s">
        <v>10</v>
      </c>
      <c r="C90" s="21" t="s">
        <v>11</v>
      </c>
      <c r="D90" s="15">
        <v>27796.43</v>
      </c>
      <c r="E90" s="15">
        <f t="shared" si="2"/>
        <v>-514.04000000000087</v>
      </c>
      <c r="F90" s="24">
        <v>-1.8157240059949498E-2</v>
      </c>
      <c r="G90" s="21">
        <v>12</v>
      </c>
      <c r="H90" s="25" t="s">
        <v>53</v>
      </c>
      <c r="I90" s="26">
        <v>45996</v>
      </c>
      <c r="J90" s="21" t="s">
        <v>21</v>
      </c>
      <c r="K90" s="18">
        <v>6781520261</v>
      </c>
      <c r="L90" s="12">
        <v>349391115.76544398</v>
      </c>
      <c r="M90" s="19">
        <v>0.71666666666666601</v>
      </c>
    </row>
    <row r="91" spans="1:13" x14ac:dyDescent="0.25">
      <c r="A91">
        <v>89</v>
      </c>
      <c r="B91" t="s">
        <v>10</v>
      </c>
      <c r="C91" s="21" t="s">
        <v>11</v>
      </c>
      <c r="D91" s="15">
        <v>27795.71</v>
      </c>
      <c r="E91" s="15">
        <f t="shared" si="2"/>
        <v>-514.76000000000204</v>
      </c>
      <c r="F91" s="24">
        <v>-1.8182672347015101E-2</v>
      </c>
      <c r="G91" s="21">
        <v>12</v>
      </c>
      <c r="H91" s="25" t="s">
        <v>53</v>
      </c>
      <c r="I91" s="26">
        <v>45995</v>
      </c>
      <c r="J91" s="21" t="s">
        <v>18</v>
      </c>
      <c r="K91" s="18">
        <v>6475222009</v>
      </c>
      <c r="L91" s="12">
        <v>349391115.76544398</v>
      </c>
      <c r="M91" s="19">
        <v>0.71666666666666601</v>
      </c>
    </row>
    <row r="92" spans="1:13" x14ac:dyDescent="0.25">
      <c r="A92">
        <v>90</v>
      </c>
      <c r="B92" t="s">
        <v>10</v>
      </c>
      <c r="C92" s="21" t="s">
        <v>11</v>
      </c>
      <c r="D92" s="15">
        <v>27793.040000000001</v>
      </c>
      <c r="E92" s="15">
        <f t="shared" si="2"/>
        <v>-517.43000000000029</v>
      </c>
      <c r="F92" s="24">
        <v>-1.8276983744882999E-2</v>
      </c>
      <c r="G92" s="21">
        <v>12</v>
      </c>
      <c r="H92" s="25" t="s">
        <v>53</v>
      </c>
      <c r="I92" s="26">
        <v>45994</v>
      </c>
      <c r="J92" s="21" t="s">
        <v>18</v>
      </c>
      <c r="K92" s="18">
        <v>6838633055</v>
      </c>
      <c r="L92" s="12">
        <v>349391115.76544398</v>
      </c>
      <c r="M92" s="19">
        <v>0.71666666666666601</v>
      </c>
    </row>
    <row r="93" spans="1:13" x14ac:dyDescent="0.25">
      <c r="A93">
        <v>91</v>
      </c>
      <c r="B93" t="s">
        <v>10</v>
      </c>
      <c r="C93" s="21" t="s">
        <v>11</v>
      </c>
      <c r="D93" s="15">
        <v>27785.91</v>
      </c>
      <c r="E93" s="15">
        <f t="shared" si="2"/>
        <v>-524.56000000000131</v>
      </c>
      <c r="F93" s="24">
        <v>-1.8528834032073602E-2</v>
      </c>
      <c r="G93" s="21">
        <v>12</v>
      </c>
      <c r="H93" s="25" t="s">
        <v>53</v>
      </c>
      <c r="I93" s="26">
        <v>45966</v>
      </c>
      <c r="J93" s="21" t="s">
        <v>21</v>
      </c>
      <c r="K93" s="18">
        <v>8989778518</v>
      </c>
      <c r="L93" s="12">
        <v>349391115.76544398</v>
      </c>
      <c r="M93" s="19">
        <v>0.71666666666666601</v>
      </c>
    </row>
    <row r="94" spans="1:13" x14ac:dyDescent="0.25">
      <c r="A94">
        <v>92</v>
      </c>
      <c r="B94" t="s">
        <v>10</v>
      </c>
      <c r="C94" s="21" t="s">
        <v>11</v>
      </c>
      <c r="D94" s="15">
        <v>27784.95</v>
      </c>
      <c r="E94" s="15">
        <f t="shared" si="2"/>
        <v>-525.52000000000044</v>
      </c>
      <c r="F94" s="24">
        <v>-1.8562743748161002E-2</v>
      </c>
      <c r="G94" s="21">
        <v>12</v>
      </c>
      <c r="H94" s="25" t="s">
        <v>53</v>
      </c>
      <c r="I94" s="26">
        <v>45972</v>
      </c>
      <c r="J94" s="21" t="s">
        <v>18</v>
      </c>
      <c r="K94" s="18">
        <v>8924063428</v>
      </c>
      <c r="L94" s="12">
        <v>349391115.76544398</v>
      </c>
      <c r="M94" s="19">
        <v>0.71666666666666601</v>
      </c>
    </row>
    <row r="95" spans="1:13" x14ac:dyDescent="0.25">
      <c r="A95">
        <v>93</v>
      </c>
      <c r="B95" t="s">
        <v>10</v>
      </c>
      <c r="C95" s="21" t="s">
        <v>11</v>
      </c>
      <c r="D95" s="15">
        <v>27784.95</v>
      </c>
      <c r="E95" s="15">
        <f t="shared" si="2"/>
        <v>-525.52000000000044</v>
      </c>
      <c r="F95" s="24">
        <v>-1.8562743748161002E-2</v>
      </c>
      <c r="G95" s="21">
        <v>12</v>
      </c>
      <c r="H95" s="25" t="s">
        <v>53</v>
      </c>
      <c r="I95" s="26">
        <v>45972</v>
      </c>
      <c r="J95" s="21" t="s">
        <v>25</v>
      </c>
      <c r="K95" s="18">
        <v>8924063428</v>
      </c>
      <c r="L95" s="12">
        <v>349391115.76544398</v>
      </c>
      <c r="M95" s="19">
        <v>0.71666666666666601</v>
      </c>
    </row>
    <row r="96" spans="1:13" x14ac:dyDescent="0.25">
      <c r="A96">
        <v>94</v>
      </c>
      <c r="B96" t="s">
        <v>10</v>
      </c>
      <c r="C96" s="21" t="s">
        <v>11</v>
      </c>
      <c r="D96" s="15">
        <v>27780.69</v>
      </c>
      <c r="E96" s="15">
        <f t="shared" si="2"/>
        <v>-529.78000000000247</v>
      </c>
      <c r="F96" s="24">
        <v>-1.8713218113298801E-2</v>
      </c>
      <c r="G96" s="21">
        <v>12</v>
      </c>
      <c r="H96" s="25" t="s">
        <v>54</v>
      </c>
      <c r="I96" s="26">
        <v>46008</v>
      </c>
      <c r="J96" s="21" t="s">
        <v>12</v>
      </c>
      <c r="K96" s="18">
        <v>9020647323</v>
      </c>
      <c r="L96" s="12">
        <v>356230197.70332098</v>
      </c>
      <c r="M96" s="19">
        <v>0.75624999999999998</v>
      </c>
    </row>
    <row r="97" spans="1:13" x14ac:dyDescent="0.25">
      <c r="A97">
        <v>95</v>
      </c>
      <c r="B97" t="s">
        <v>10</v>
      </c>
      <c r="C97" s="21" t="s">
        <v>11</v>
      </c>
      <c r="D97" s="15">
        <v>27773.42</v>
      </c>
      <c r="E97" s="15">
        <f t="shared" si="2"/>
        <v>-537.05000000000291</v>
      </c>
      <c r="F97" s="24">
        <v>-1.89700135674188E-2</v>
      </c>
      <c r="G97" s="21">
        <v>12</v>
      </c>
      <c r="H97" s="25" t="s">
        <v>54</v>
      </c>
      <c r="I97" s="26">
        <v>45995</v>
      </c>
      <c r="J97" s="21" t="s">
        <v>21</v>
      </c>
      <c r="K97" s="18">
        <v>6475222009</v>
      </c>
      <c r="L97" s="12">
        <v>356230197.70332098</v>
      </c>
      <c r="M97" s="19">
        <v>0.75624999999999998</v>
      </c>
    </row>
    <row r="98" spans="1:13" x14ac:dyDescent="0.25">
      <c r="A98">
        <v>96</v>
      </c>
      <c r="B98" t="s">
        <v>10</v>
      </c>
      <c r="C98" s="21" t="s">
        <v>11</v>
      </c>
      <c r="D98" s="15">
        <v>27768.27</v>
      </c>
      <c r="E98" s="15">
        <f t="shared" si="2"/>
        <v>-542.20000000000073</v>
      </c>
      <c r="F98" s="24">
        <v>-1.9151925065179001E-2</v>
      </c>
      <c r="G98" s="21">
        <v>13</v>
      </c>
      <c r="H98" s="25" t="s">
        <v>55</v>
      </c>
      <c r="I98" s="26">
        <v>45950</v>
      </c>
      <c r="J98" s="21" t="s">
        <v>12</v>
      </c>
      <c r="K98" s="18">
        <v>8045886081</v>
      </c>
      <c r="L98" s="12">
        <v>378842434.45504898</v>
      </c>
      <c r="M98" s="19">
        <v>0.83958333333333302</v>
      </c>
    </row>
    <row r="99" spans="1:13" x14ac:dyDescent="0.25">
      <c r="A99">
        <v>97</v>
      </c>
      <c r="B99" t="s">
        <v>10</v>
      </c>
      <c r="C99" s="21" t="s">
        <v>11</v>
      </c>
      <c r="D99" s="15">
        <v>27752.41</v>
      </c>
      <c r="E99" s="15">
        <f t="shared" si="2"/>
        <v>-558.06000000000131</v>
      </c>
      <c r="F99" s="24">
        <v>-1.9712141833039199E-2</v>
      </c>
      <c r="G99" s="21">
        <v>13</v>
      </c>
      <c r="H99" s="25" t="s">
        <v>55</v>
      </c>
      <c r="I99" s="26">
        <v>45951</v>
      </c>
      <c r="J99" s="21" t="s">
        <v>18</v>
      </c>
      <c r="K99" s="18">
        <v>8507303277</v>
      </c>
      <c r="L99" s="12">
        <v>378842434.45504898</v>
      </c>
      <c r="M99" s="19">
        <v>0.83958333333333302</v>
      </c>
    </row>
    <row r="100" spans="1:13" x14ac:dyDescent="0.25">
      <c r="A100">
        <v>98</v>
      </c>
      <c r="B100" t="s">
        <v>10</v>
      </c>
      <c r="C100" s="21" t="s">
        <v>11</v>
      </c>
      <c r="D100" s="15">
        <v>27742.55</v>
      </c>
      <c r="E100" s="15">
        <f t="shared" si="2"/>
        <v>-567.92000000000189</v>
      </c>
      <c r="F100" s="24">
        <v>-2.0060422875353201E-2</v>
      </c>
      <c r="G100" s="21">
        <v>13</v>
      </c>
      <c r="H100" s="25" t="s">
        <v>55</v>
      </c>
      <c r="I100" s="26">
        <v>45951</v>
      </c>
      <c r="J100" s="21" t="s">
        <v>25</v>
      </c>
      <c r="K100" s="18">
        <v>8507303277</v>
      </c>
      <c r="L100" s="12">
        <v>378842434.45504898</v>
      </c>
      <c r="M100" s="19">
        <v>0.83958333333333302</v>
      </c>
    </row>
    <row r="101" spans="1:13" x14ac:dyDescent="0.25">
      <c r="A101">
        <v>99</v>
      </c>
      <c r="B101" t="s">
        <v>10</v>
      </c>
      <c r="C101" s="21" t="s">
        <v>11</v>
      </c>
      <c r="D101" s="15">
        <v>27742.55</v>
      </c>
      <c r="E101" s="15">
        <f t="shared" si="2"/>
        <v>-567.92000000000189</v>
      </c>
      <c r="F101" s="24">
        <v>-2.0060422875353201E-2</v>
      </c>
      <c r="G101" s="21">
        <v>13</v>
      </c>
      <c r="H101" s="25" t="s">
        <v>55</v>
      </c>
      <c r="I101" s="26">
        <v>45951</v>
      </c>
      <c r="J101" s="21" t="s">
        <v>21</v>
      </c>
      <c r="K101" s="18">
        <v>8507303277</v>
      </c>
      <c r="L101" s="12">
        <v>378842434.45504898</v>
      </c>
      <c r="M101" s="19">
        <v>0.83958333333333302</v>
      </c>
    </row>
    <row r="102" spans="1:13" x14ac:dyDescent="0.25">
      <c r="A102">
        <v>100</v>
      </c>
      <c r="B102" t="s">
        <v>10</v>
      </c>
      <c r="C102" s="21" t="s">
        <v>11</v>
      </c>
      <c r="D102" s="15">
        <v>27741.89</v>
      </c>
      <c r="E102" s="15">
        <f t="shared" si="2"/>
        <v>-568.58000000000175</v>
      </c>
      <c r="F102" s="24">
        <v>-2.0083735805163299E-2</v>
      </c>
      <c r="G102" s="21">
        <v>13</v>
      </c>
      <c r="H102" s="25" t="s">
        <v>56</v>
      </c>
      <c r="I102" s="26">
        <v>45993</v>
      </c>
      <c r="J102" s="21" t="s">
        <v>12</v>
      </c>
      <c r="K102" s="18">
        <v>7321099919</v>
      </c>
      <c r="L102" s="12">
        <v>368931299.02716899</v>
      </c>
      <c r="M102" s="19">
        <v>0.8125</v>
      </c>
    </row>
    <row r="103" spans="1:13" x14ac:dyDescent="0.25">
      <c r="A103">
        <v>101</v>
      </c>
      <c r="B103" t="s">
        <v>10</v>
      </c>
      <c r="C103" s="21" t="s">
        <v>11</v>
      </c>
      <c r="D103" s="15">
        <v>27740.66</v>
      </c>
      <c r="E103" s="15">
        <f t="shared" si="2"/>
        <v>-569.81000000000131</v>
      </c>
      <c r="F103" s="24">
        <v>-2.01271826289002E-2</v>
      </c>
      <c r="G103" s="21">
        <v>14</v>
      </c>
      <c r="H103" s="25" t="s">
        <v>57</v>
      </c>
      <c r="I103" s="26">
        <v>46007</v>
      </c>
      <c r="J103" s="21" t="s">
        <v>12</v>
      </c>
      <c r="K103" s="18">
        <v>9586999810</v>
      </c>
      <c r="L103" s="12">
        <v>393833244.03872699</v>
      </c>
      <c r="M103" s="19">
        <v>0.86875000000000002</v>
      </c>
    </row>
    <row r="104" spans="1:13" x14ac:dyDescent="0.25">
      <c r="A104">
        <v>102</v>
      </c>
      <c r="B104" t="s">
        <v>10</v>
      </c>
      <c r="C104" s="21" t="s">
        <v>11</v>
      </c>
      <c r="D104" s="15">
        <v>27738.5</v>
      </c>
      <c r="E104" s="15">
        <f t="shared" si="2"/>
        <v>-571.97000000000116</v>
      </c>
      <c r="F104" s="24">
        <v>-2.02034794900968E-2</v>
      </c>
      <c r="G104" s="21">
        <v>14</v>
      </c>
      <c r="H104" s="25" t="s">
        <v>57</v>
      </c>
      <c r="I104" s="26">
        <v>45996</v>
      </c>
      <c r="J104" s="21" t="s">
        <v>25</v>
      </c>
      <c r="K104" s="18">
        <v>6781520261</v>
      </c>
      <c r="L104" s="12">
        <v>393833244.03872699</v>
      </c>
      <c r="M104" s="19">
        <v>0.86875000000000002</v>
      </c>
    </row>
    <row r="105" spans="1:13" x14ac:dyDescent="0.25">
      <c r="A105">
        <v>103</v>
      </c>
      <c r="B105" t="s">
        <v>10</v>
      </c>
      <c r="C105" s="21" t="s">
        <v>11</v>
      </c>
      <c r="D105" s="15">
        <v>27732.78</v>
      </c>
      <c r="E105" s="15">
        <f t="shared" si="2"/>
        <v>-577.69000000000233</v>
      </c>
      <c r="F105" s="24">
        <v>-2.0405524881784098E-2</v>
      </c>
      <c r="G105" s="21">
        <v>14</v>
      </c>
      <c r="H105" s="25" t="s">
        <v>58</v>
      </c>
      <c r="I105" s="26">
        <v>45946</v>
      </c>
      <c r="J105" s="21" t="s">
        <v>12</v>
      </c>
      <c r="K105" s="18">
        <v>9035460141</v>
      </c>
      <c r="L105" s="12">
        <v>388703495.975981</v>
      </c>
      <c r="M105" s="19">
        <v>0.85416666666666596</v>
      </c>
    </row>
    <row r="106" spans="1:13" x14ac:dyDescent="0.25">
      <c r="A106">
        <v>104</v>
      </c>
      <c r="B106" t="s">
        <v>10</v>
      </c>
      <c r="C106" s="21" t="s">
        <v>11</v>
      </c>
      <c r="D106" s="15">
        <v>27725.83</v>
      </c>
      <c r="E106" s="15">
        <f t="shared" si="2"/>
        <v>-584.63999999999942</v>
      </c>
      <c r="F106" s="24">
        <v>-2.06510170972081E-2</v>
      </c>
      <c r="G106" s="21">
        <v>15</v>
      </c>
      <c r="H106" s="25" t="s">
        <v>59</v>
      </c>
      <c r="I106" s="26">
        <v>45952</v>
      </c>
      <c r="J106" s="21" t="s">
        <v>12</v>
      </c>
      <c r="K106" s="18">
        <v>7835590935</v>
      </c>
      <c r="L106" s="12">
        <v>422054951.39012903</v>
      </c>
      <c r="M106" s="19">
        <v>0.94583333333333297</v>
      </c>
    </row>
    <row r="107" spans="1:13" x14ac:dyDescent="0.25">
      <c r="A107">
        <v>105</v>
      </c>
      <c r="B107" t="s">
        <v>10</v>
      </c>
      <c r="C107" s="21" t="s">
        <v>11</v>
      </c>
      <c r="D107" s="15">
        <v>27723.77</v>
      </c>
      <c r="E107" s="15">
        <f t="shared" si="2"/>
        <v>-586.70000000000073</v>
      </c>
      <c r="F107" s="24">
        <v>-2.07237816963123E-2</v>
      </c>
      <c r="G107" s="21">
        <v>16</v>
      </c>
      <c r="H107" s="25" t="s">
        <v>60</v>
      </c>
      <c r="I107" s="26">
        <v>45978</v>
      </c>
      <c r="J107" s="21" t="s">
        <v>12</v>
      </c>
      <c r="K107" s="18">
        <v>8604107358</v>
      </c>
      <c r="L107" s="12">
        <v>453177382.69303</v>
      </c>
      <c r="M107" s="19">
        <v>0.97083333333333299</v>
      </c>
    </row>
    <row r="108" spans="1:13" x14ac:dyDescent="0.25">
      <c r="A108">
        <v>106</v>
      </c>
      <c r="B108" t="s">
        <v>10</v>
      </c>
      <c r="C108" s="21" t="s">
        <v>11</v>
      </c>
      <c r="D108" s="15">
        <v>27721.1</v>
      </c>
      <c r="E108" s="15">
        <f t="shared" si="2"/>
        <v>-589.37000000000262</v>
      </c>
      <c r="F108" s="24">
        <v>-2.0818093094180399E-2</v>
      </c>
      <c r="G108" s="21">
        <v>16</v>
      </c>
      <c r="H108" s="25" t="s">
        <v>60</v>
      </c>
      <c r="I108" s="26">
        <v>46007</v>
      </c>
      <c r="J108" s="21" t="s">
        <v>21</v>
      </c>
      <c r="K108" s="18">
        <v>9586999810</v>
      </c>
      <c r="L108" s="12">
        <v>453177382.69303</v>
      </c>
      <c r="M108" s="19">
        <v>0.97083333333333299</v>
      </c>
    </row>
    <row r="109" spans="1:13" x14ac:dyDescent="0.25">
      <c r="A109">
        <v>107</v>
      </c>
      <c r="B109" t="s">
        <v>10</v>
      </c>
      <c r="C109" s="21" t="s">
        <v>11</v>
      </c>
      <c r="D109" s="15">
        <v>27717.06</v>
      </c>
      <c r="E109" s="15">
        <f t="shared" si="2"/>
        <v>-593.40999999999985</v>
      </c>
      <c r="F109" s="24">
        <v>-2.0960796482714601E-2</v>
      </c>
      <c r="G109" s="21">
        <v>16</v>
      </c>
      <c r="H109" s="25" t="s">
        <v>60</v>
      </c>
      <c r="I109" s="26">
        <v>45966</v>
      </c>
      <c r="J109" s="21" t="s">
        <v>18</v>
      </c>
      <c r="K109" s="18">
        <v>8989778518</v>
      </c>
      <c r="L109" s="12">
        <v>453177382.69303</v>
      </c>
      <c r="M109" s="19">
        <v>0.97083333333333299</v>
      </c>
    </row>
    <row r="110" spans="1:13" x14ac:dyDescent="0.25">
      <c r="A110">
        <v>108</v>
      </c>
      <c r="B110" t="s">
        <v>10</v>
      </c>
      <c r="C110" s="21" t="s">
        <v>11</v>
      </c>
      <c r="D110" s="15">
        <v>27697.06</v>
      </c>
      <c r="E110" s="15">
        <f t="shared" si="2"/>
        <v>-613.40999999999985</v>
      </c>
      <c r="F110" s="24">
        <v>-2.1667248901201499E-2</v>
      </c>
      <c r="G110" s="21">
        <v>17</v>
      </c>
      <c r="H110" s="25" t="s">
        <v>61</v>
      </c>
      <c r="I110" s="26">
        <v>45992</v>
      </c>
      <c r="J110" s="21" t="s">
        <v>12</v>
      </c>
      <c r="K110" s="18">
        <v>7418235597</v>
      </c>
      <c r="L110" s="12">
        <v>474101523.37788099</v>
      </c>
      <c r="M110" s="19">
        <v>0.99166666666666603</v>
      </c>
    </row>
    <row r="111" spans="1:13" x14ac:dyDescent="0.25">
      <c r="A111">
        <v>109</v>
      </c>
      <c r="B111" t="s">
        <v>10</v>
      </c>
      <c r="C111" s="21" t="s">
        <v>11</v>
      </c>
      <c r="D111" s="15">
        <v>27696.35</v>
      </c>
      <c r="E111" s="15">
        <f t="shared" si="2"/>
        <v>-614.12000000000262</v>
      </c>
      <c r="F111" s="24">
        <v>-2.1692327962057899E-2</v>
      </c>
      <c r="G111" s="21">
        <v>17</v>
      </c>
      <c r="H111" s="25" t="s">
        <v>61</v>
      </c>
      <c r="I111" s="26">
        <v>46010</v>
      </c>
      <c r="J111" s="21" t="s">
        <v>18</v>
      </c>
      <c r="K111" s="18">
        <v>9145168124</v>
      </c>
      <c r="L111" s="12">
        <v>474101523.37788099</v>
      </c>
      <c r="M111" s="19">
        <v>0.99166666666666603</v>
      </c>
    </row>
    <row r="112" spans="1:13" x14ac:dyDescent="0.25">
      <c r="A112">
        <v>110</v>
      </c>
      <c r="B112" t="s">
        <v>10</v>
      </c>
      <c r="C112" s="21" t="s">
        <v>11</v>
      </c>
      <c r="D112" s="15">
        <v>27688.63</v>
      </c>
      <c r="E112" s="15">
        <f t="shared" si="2"/>
        <v>-621.84000000000015</v>
      </c>
      <c r="F112" s="24">
        <v>-2.1965018595593699E-2</v>
      </c>
      <c r="G112" s="21">
        <v>17</v>
      </c>
      <c r="H112" s="25" t="s">
        <v>61</v>
      </c>
      <c r="I112" s="26">
        <v>45950</v>
      </c>
      <c r="J112" s="21" t="s">
        <v>18</v>
      </c>
      <c r="K112" s="18">
        <v>8045886081</v>
      </c>
      <c r="L112" s="12">
        <v>474101523.37788099</v>
      </c>
      <c r="M112" s="19">
        <v>0.99166666666666603</v>
      </c>
    </row>
    <row r="113" spans="1:13" x14ac:dyDescent="0.25">
      <c r="A113">
        <v>111</v>
      </c>
      <c r="B113" t="s">
        <v>10</v>
      </c>
      <c r="C113" s="21" t="s">
        <v>11</v>
      </c>
      <c r="D113" s="15">
        <v>27685.74</v>
      </c>
      <c r="E113" s="15">
        <f t="shared" si="2"/>
        <v>-624.72999999999956</v>
      </c>
      <c r="F113" s="24">
        <v>-2.20671009700651E-2</v>
      </c>
      <c r="G113" s="21">
        <v>17</v>
      </c>
      <c r="H113" s="25" t="s">
        <v>61</v>
      </c>
      <c r="I113" s="26">
        <v>46010</v>
      </c>
      <c r="J113" s="21" t="s">
        <v>21</v>
      </c>
      <c r="K113" s="18">
        <v>9145168124</v>
      </c>
      <c r="L113" s="12">
        <v>474101523.37788099</v>
      </c>
      <c r="M113" s="19">
        <v>0.99166666666666603</v>
      </c>
    </row>
    <row r="114" spans="1:13" x14ac:dyDescent="0.25">
      <c r="A114">
        <v>112</v>
      </c>
      <c r="B114" t="s">
        <v>10</v>
      </c>
      <c r="C114" s="21" t="s">
        <v>11</v>
      </c>
      <c r="D114" s="15">
        <v>27684.87</v>
      </c>
      <c r="E114" s="15">
        <f t="shared" si="2"/>
        <v>-625.60000000000218</v>
      </c>
      <c r="F114" s="24">
        <v>-2.2097831650269299E-2</v>
      </c>
      <c r="G114" s="21">
        <v>17</v>
      </c>
      <c r="H114" s="25" t="s">
        <v>61</v>
      </c>
      <c r="I114" s="26">
        <v>46006</v>
      </c>
      <c r="J114" s="21" t="s">
        <v>25</v>
      </c>
      <c r="K114" s="18">
        <v>7855274707</v>
      </c>
      <c r="L114" s="12">
        <v>474101523.37788099</v>
      </c>
      <c r="M114" s="19">
        <v>0.99166666666666603</v>
      </c>
    </row>
    <row r="115" spans="1:13" x14ac:dyDescent="0.25">
      <c r="A115">
        <v>113</v>
      </c>
      <c r="B115" t="s">
        <v>10</v>
      </c>
      <c r="C115" s="21" t="s">
        <v>11</v>
      </c>
      <c r="D115" s="15">
        <v>27680.51</v>
      </c>
      <c r="E115" s="15">
        <f t="shared" si="2"/>
        <v>-629.96000000000276</v>
      </c>
      <c r="F115" s="24">
        <v>-2.2251838277499499E-2</v>
      </c>
      <c r="G115" s="21">
        <v>16</v>
      </c>
      <c r="H115" s="25" t="s">
        <v>62</v>
      </c>
      <c r="I115" s="26">
        <v>45971</v>
      </c>
      <c r="J115" s="21" t="s">
        <v>25</v>
      </c>
      <c r="K115" s="18">
        <v>7491028505</v>
      </c>
      <c r="L115" s="12">
        <v>456040098.961896</v>
      </c>
      <c r="M115" s="19">
        <v>0.97916666666666596</v>
      </c>
    </row>
    <row r="116" spans="1:13" x14ac:dyDescent="0.25">
      <c r="A116">
        <v>114</v>
      </c>
      <c r="B116" t="s">
        <v>10</v>
      </c>
      <c r="C116" s="21" t="s">
        <v>11</v>
      </c>
      <c r="D116" s="15">
        <v>27674.16</v>
      </c>
      <c r="E116" s="15">
        <f t="shared" si="2"/>
        <v>-636.31000000000131</v>
      </c>
      <c r="F116" s="24">
        <v>-2.2476136920369E-2</v>
      </c>
      <c r="G116" s="21">
        <v>15</v>
      </c>
      <c r="H116" s="25" t="s">
        <v>63</v>
      </c>
      <c r="I116" s="26">
        <v>45992</v>
      </c>
      <c r="J116" s="21" t="s">
        <v>21</v>
      </c>
      <c r="K116" s="18">
        <v>7418235597</v>
      </c>
      <c r="L116" s="12">
        <v>430765017.967902</v>
      </c>
      <c r="M116" s="19">
        <v>0.95208333333333295</v>
      </c>
    </row>
    <row r="117" spans="1:13" x14ac:dyDescent="0.25">
      <c r="A117">
        <v>115</v>
      </c>
      <c r="B117" t="s">
        <v>10</v>
      </c>
      <c r="C117" s="21" t="s">
        <v>11</v>
      </c>
      <c r="D117" s="15">
        <v>27672.05</v>
      </c>
      <c r="E117" s="15">
        <f t="shared" si="2"/>
        <v>-638.42000000000189</v>
      </c>
      <c r="F117" s="24">
        <v>-2.2550667650519399E-2</v>
      </c>
      <c r="G117" s="21">
        <v>15</v>
      </c>
      <c r="H117" s="25" t="s">
        <v>63</v>
      </c>
      <c r="I117" s="26">
        <v>46010</v>
      </c>
      <c r="J117" s="21" t="s">
        <v>25</v>
      </c>
      <c r="K117" s="18">
        <v>9145168124</v>
      </c>
      <c r="L117" s="12">
        <v>430765017.967902</v>
      </c>
      <c r="M117" s="19">
        <v>0.95208333333333295</v>
      </c>
    </row>
    <row r="118" spans="1:13" x14ac:dyDescent="0.25">
      <c r="A118">
        <v>116</v>
      </c>
      <c r="B118" t="s">
        <v>10</v>
      </c>
      <c r="C118" s="21" t="s">
        <v>11</v>
      </c>
      <c r="D118" s="15">
        <v>27659.06</v>
      </c>
      <c r="E118" s="15">
        <f t="shared" si="2"/>
        <v>-651.40999999999985</v>
      </c>
      <c r="F118" s="24">
        <v>-2.3009508496326599E-2</v>
      </c>
      <c r="G118" s="21">
        <v>15</v>
      </c>
      <c r="H118" s="25" t="s">
        <v>64</v>
      </c>
      <c r="I118" s="26">
        <v>45988</v>
      </c>
      <c r="J118" s="21" t="s">
        <v>12</v>
      </c>
      <c r="K118" s="18">
        <v>7539156843</v>
      </c>
      <c r="L118" s="12">
        <v>418402651.11982101</v>
      </c>
      <c r="M118" s="19">
        <v>0.92916666666666603</v>
      </c>
    </row>
    <row r="119" spans="1:13" x14ac:dyDescent="0.25">
      <c r="A119">
        <v>117</v>
      </c>
      <c r="B119" t="s">
        <v>10</v>
      </c>
      <c r="C119" s="21" t="s">
        <v>11</v>
      </c>
      <c r="D119" s="15">
        <v>27651.41</v>
      </c>
      <c r="E119" s="15">
        <f t="shared" si="2"/>
        <v>-659.06000000000131</v>
      </c>
      <c r="F119" s="24">
        <v>-2.3279726546397799E-2</v>
      </c>
      <c r="G119" s="21">
        <v>15</v>
      </c>
      <c r="H119" s="25" t="s">
        <v>64</v>
      </c>
      <c r="I119" s="26">
        <v>45968</v>
      </c>
      <c r="J119" s="21" t="s">
        <v>18</v>
      </c>
      <c r="K119" s="18">
        <v>7878592276</v>
      </c>
      <c r="L119" s="12">
        <v>418402651.11982101</v>
      </c>
      <c r="M119" s="19">
        <v>0.92916666666666603</v>
      </c>
    </row>
    <row r="120" spans="1:13" x14ac:dyDescent="0.25">
      <c r="A120">
        <v>118</v>
      </c>
      <c r="B120" t="s">
        <v>10</v>
      </c>
      <c r="C120" s="21" t="s">
        <v>11</v>
      </c>
      <c r="D120" s="15">
        <v>27648.91</v>
      </c>
      <c r="E120" s="15">
        <f t="shared" si="2"/>
        <v>-661.56000000000131</v>
      </c>
      <c r="F120" s="24">
        <v>-2.3368033098708701E-2</v>
      </c>
      <c r="G120" s="21">
        <v>15</v>
      </c>
      <c r="H120" s="25" t="s">
        <v>64</v>
      </c>
      <c r="I120" s="26">
        <v>45952</v>
      </c>
      <c r="J120" s="21" t="s">
        <v>18</v>
      </c>
      <c r="K120" s="18">
        <v>7835590935</v>
      </c>
      <c r="L120" s="12">
        <v>418402651.11982101</v>
      </c>
      <c r="M120" s="19">
        <v>0.92916666666666603</v>
      </c>
    </row>
    <row r="121" spans="1:13" x14ac:dyDescent="0.25">
      <c r="A121">
        <v>119</v>
      </c>
      <c r="B121" t="s">
        <v>10</v>
      </c>
      <c r="C121" s="21" t="s">
        <v>11</v>
      </c>
      <c r="D121" s="15">
        <v>27647.87</v>
      </c>
      <c r="E121" s="15">
        <f t="shared" si="2"/>
        <v>-662.60000000000218</v>
      </c>
      <c r="F121" s="24">
        <v>-2.34047686244701E-2</v>
      </c>
      <c r="G121" s="21">
        <v>15</v>
      </c>
      <c r="H121" s="25" t="s">
        <v>64</v>
      </c>
      <c r="I121" s="26">
        <v>45946</v>
      </c>
      <c r="J121" s="21" t="s">
        <v>18</v>
      </c>
      <c r="K121" s="18">
        <v>9035460141</v>
      </c>
      <c r="L121" s="12">
        <v>418402651.11982101</v>
      </c>
      <c r="M121" s="19">
        <v>0.92916666666666603</v>
      </c>
    </row>
    <row r="122" spans="1:13" x14ac:dyDescent="0.25">
      <c r="A122">
        <v>120</v>
      </c>
      <c r="B122" t="s">
        <v>10</v>
      </c>
      <c r="C122" s="21" t="s">
        <v>11</v>
      </c>
      <c r="D122" s="15">
        <v>27636.63</v>
      </c>
      <c r="E122" s="15">
        <f t="shared" si="2"/>
        <v>-673.84000000000015</v>
      </c>
      <c r="F122" s="24">
        <v>-2.3801794883659601E-2</v>
      </c>
      <c r="G122" s="21">
        <v>15</v>
      </c>
      <c r="H122" s="25" t="s">
        <v>64</v>
      </c>
      <c r="I122" s="26">
        <v>45995</v>
      </c>
      <c r="J122" s="21" t="s">
        <v>25</v>
      </c>
      <c r="K122" s="18">
        <v>6475222009</v>
      </c>
      <c r="L122" s="12">
        <v>418402651.11982101</v>
      </c>
      <c r="M122" s="19">
        <v>0.92916666666666603</v>
      </c>
    </row>
    <row r="123" spans="1:13" x14ac:dyDescent="0.25">
      <c r="A123">
        <v>121</v>
      </c>
      <c r="B123" t="s">
        <v>10</v>
      </c>
      <c r="C123" s="21" t="s">
        <v>11</v>
      </c>
      <c r="D123" s="15">
        <v>27626.48</v>
      </c>
      <c r="E123" s="15">
        <f t="shared" si="2"/>
        <v>-683.9900000000016</v>
      </c>
      <c r="F123" s="24">
        <v>-2.4160319486041699E-2</v>
      </c>
      <c r="G123" s="21">
        <v>14</v>
      </c>
      <c r="H123" s="25" t="s">
        <v>65</v>
      </c>
      <c r="I123" s="26">
        <v>45989</v>
      </c>
      <c r="J123" s="21" t="s">
        <v>18</v>
      </c>
      <c r="K123" s="18">
        <v>7671742311</v>
      </c>
      <c r="L123" s="12">
        <v>391821279.98271102</v>
      </c>
      <c r="M123" s="19">
        <v>0.86041666666666605</v>
      </c>
    </row>
    <row r="124" spans="1:13" x14ac:dyDescent="0.25">
      <c r="A124">
        <v>122</v>
      </c>
      <c r="B124" t="s">
        <v>10</v>
      </c>
      <c r="C124" s="21" t="s">
        <v>11</v>
      </c>
      <c r="D124" s="15">
        <v>27621.48</v>
      </c>
      <c r="E124" s="15">
        <f t="shared" si="2"/>
        <v>-688.9900000000016</v>
      </c>
      <c r="F124" s="24">
        <v>-2.4336932590663499E-2</v>
      </c>
      <c r="G124" s="21">
        <v>14</v>
      </c>
      <c r="H124" s="25" t="s">
        <v>65</v>
      </c>
      <c r="I124" s="26">
        <v>45968</v>
      </c>
      <c r="J124" s="21" t="s">
        <v>25</v>
      </c>
      <c r="K124" s="18">
        <v>7878592276</v>
      </c>
      <c r="L124" s="12">
        <v>391821279.98271102</v>
      </c>
      <c r="M124" s="19">
        <v>0.86041666666666605</v>
      </c>
    </row>
    <row r="125" spans="1:13" x14ac:dyDescent="0.25">
      <c r="A125">
        <v>123</v>
      </c>
      <c r="B125" t="s">
        <v>10</v>
      </c>
      <c r="C125" s="21" t="s">
        <v>11</v>
      </c>
      <c r="D125" s="15">
        <v>27614.11</v>
      </c>
      <c r="E125" s="15">
        <f t="shared" si="2"/>
        <v>-696.36000000000058</v>
      </c>
      <c r="F125" s="24">
        <v>-2.4597260306875798E-2</v>
      </c>
      <c r="G125" s="21">
        <v>13</v>
      </c>
      <c r="H125" s="25" t="s">
        <v>66</v>
      </c>
      <c r="I125" s="26">
        <v>45952</v>
      </c>
      <c r="J125" s="21" t="s">
        <v>21</v>
      </c>
      <c r="K125" s="18">
        <v>7835590935</v>
      </c>
      <c r="L125" s="12">
        <v>351840602.64586002</v>
      </c>
      <c r="M125" s="19">
        <v>0.74583333333333302</v>
      </c>
    </row>
    <row r="126" spans="1:13" x14ac:dyDescent="0.25">
      <c r="A126">
        <v>124</v>
      </c>
      <c r="B126" t="s">
        <v>10</v>
      </c>
      <c r="C126" s="21" t="s">
        <v>11</v>
      </c>
      <c r="D126" s="15">
        <v>27605.63</v>
      </c>
      <c r="E126" s="15">
        <f t="shared" si="2"/>
        <v>-704.84000000000015</v>
      </c>
      <c r="F126" s="24">
        <v>-2.4896796132314301E-2</v>
      </c>
      <c r="G126" s="21">
        <v>13</v>
      </c>
      <c r="H126" s="25" t="s">
        <v>66</v>
      </c>
      <c r="I126" s="26">
        <v>45994</v>
      </c>
      <c r="J126" s="21" t="s">
        <v>25</v>
      </c>
      <c r="K126" s="18">
        <v>6838633055</v>
      </c>
      <c r="L126" s="12">
        <v>351840602.64586002</v>
      </c>
      <c r="M126" s="19">
        <v>0.74583333333333302</v>
      </c>
    </row>
    <row r="127" spans="1:13" x14ac:dyDescent="0.25">
      <c r="A127">
        <v>125</v>
      </c>
      <c r="B127" t="s">
        <v>10</v>
      </c>
      <c r="C127" s="21" t="s">
        <v>11</v>
      </c>
      <c r="D127" s="15">
        <v>27605.63</v>
      </c>
      <c r="E127" s="15">
        <f t="shared" si="2"/>
        <v>-704.84000000000015</v>
      </c>
      <c r="F127" s="24">
        <v>-2.4896796132314301E-2</v>
      </c>
      <c r="G127" s="21">
        <v>13</v>
      </c>
      <c r="H127" s="25" t="s">
        <v>66</v>
      </c>
      <c r="I127" s="26">
        <v>45994</v>
      </c>
      <c r="J127" s="21" t="s">
        <v>21</v>
      </c>
      <c r="K127" s="18">
        <v>6838633055</v>
      </c>
      <c r="L127" s="12">
        <v>351840602.64586002</v>
      </c>
      <c r="M127" s="19">
        <v>0.74583333333333302</v>
      </c>
    </row>
    <row r="128" spans="1:13" x14ac:dyDescent="0.25">
      <c r="A128">
        <v>126</v>
      </c>
      <c r="B128" t="s">
        <v>10</v>
      </c>
      <c r="C128" s="21" t="s">
        <v>11</v>
      </c>
      <c r="D128" s="15">
        <v>27600.74</v>
      </c>
      <c r="E128" s="15">
        <f t="shared" si="2"/>
        <v>-709.72999999999956</v>
      </c>
      <c r="F128" s="24">
        <v>-2.50695237486343E-2</v>
      </c>
      <c r="G128" s="21">
        <v>12</v>
      </c>
      <c r="H128" s="25" t="s">
        <v>67</v>
      </c>
      <c r="I128" s="26">
        <v>45978</v>
      </c>
      <c r="J128" s="21" t="s">
        <v>21</v>
      </c>
      <c r="K128" s="18">
        <v>8604107358</v>
      </c>
      <c r="L128" s="12">
        <v>323586458.475474</v>
      </c>
      <c r="M128" s="19">
        <v>0.61458333333333304</v>
      </c>
    </row>
    <row r="129" spans="1:13" x14ac:dyDescent="0.25">
      <c r="A129">
        <v>127</v>
      </c>
      <c r="B129" t="s">
        <v>10</v>
      </c>
      <c r="C129" s="21" t="s">
        <v>11</v>
      </c>
      <c r="D129" s="15">
        <v>27596.18</v>
      </c>
      <c r="E129" s="15">
        <f t="shared" si="2"/>
        <v>-714.29000000000087</v>
      </c>
      <c r="F129" s="24">
        <v>-2.5230594900049301E-2</v>
      </c>
      <c r="G129" s="21">
        <v>12</v>
      </c>
      <c r="H129" s="25" t="s">
        <v>67</v>
      </c>
      <c r="I129" s="26">
        <v>46008</v>
      </c>
      <c r="J129" s="21" t="s">
        <v>21</v>
      </c>
      <c r="K129" s="18">
        <v>9020647323</v>
      </c>
      <c r="L129" s="12">
        <v>323586458.475474</v>
      </c>
      <c r="M129" s="19">
        <v>0.61458333333333304</v>
      </c>
    </row>
    <row r="130" spans="1:13" x14ac:dyDescent="0.25">
      <c r="A130">
        <v>128</v>
      </c>
      <c r="B130" t="s">
        <v>10</v>
      </c>
      <c r="C130" s="21" t="s">
        <v>11</v>
      </c>
      <c r="D130" s="15">
        <v>27586.85</v>
      </c>
      <c r="E130" s="15">
        <f t="shared" si="2"/>
        <v>-723.62000000000262</v>
      </c>
      <c r="F130" s="24">
        <v>-2.55601549532735E-2</v>
      </c>
      <c r="G130" s="21">
        <v>13</v>
      </c>
      <c r="H130" s="25" t="s">
        <v>68</v>
      </c>
      <c r="I130" s="26">
        <v>45953</v>
      </c>
      <c r="J130" s="21" t="s">
        <v>12</v>
      </c>
      <c r="K130" s="18">
        <v>7318554768</v>
      </c>
      <c r="L130" s="12">
        <v>357597773.50475198</v>
      </c>
      <c r="M130" s="19">
        <v>0.76249999999999996</v>
      </c>
    </row>
    <row r="131" spans="1:13" x14ac:dyDescent="0.25">
      <c r="A131">
        <v>129</v>
      </c>
      <c r="B131" t="s">
        <v>10</v>
      </c>
      <c r="C131" s="21" t="s">
        <v>11</v>
      </c>
      <c r="D131" s="15">
        <v>27569.439999999999</v>
      </c>
      <c r="E131" s="15">
        <f t="shared" si="2"/>
        <v>-741.03000000000247</v>
      </c>
      <c r="F131" s="24">
        <v>-2.6175121783566301E-2</v>
      </c>
      <c r="G131" s="21">
        <v>14</v>
      </c>
      <c r="H131" s="25" t="s">
        <v>69</v>
      </c>
      <c r="I131" s="26">
        <v>46009</v>
      </c>
      <c r="J131" s="21" t="s">
        <v>12</v>
      </c>
      <c r="K131" s="18">
        <v>8450315748</v>
      </c>
      <c r="L131" s="12">
        <v>396241921.06957603</v>
      </c>
      <c r="M131" s="19">
        <v>0.87916666666666599</v>
      </c>
    </row>
    <row r="132" spans="1:13" x14ac:dyDescent="0.25">
      <c r="A132">
        <v>130</v>
      </c>
      <c r="B132" t="s">
        <v>10</v>
      </c>
      <c r="C132" s="21" t="s">
        <v>11</v>
      </c>
      <c r="D132" s="15">
        <v>27566.12</v>
      </c>
      <c r="E132" s="15">
        <f t="shared" si="2"/>
        <v>-744.35000000000218</v>
      </c>
      <c r="F132" s="24">
        <v>-2.6292392885035099E-2</v>
      </c>
      <c r="G132" s="21">
        <v>14</v>
      </c>
      <c r="H132" s="25" t="s">
        <v>69</v>
      </c>
      <c r="I132" s="26">
        <v>45989</v>
      </c>
      <c r="J132" s="21" t="s">
        <v>25</v>
      </c>
      <c r="K132" s="18">
        <v>7671742311</v>
      </c>
      <c r="L132" s="12">
        <v>396241921.06957603</v>
      </c>
      <c r="M132" s="19">
        <v>0.87916666666666599</v>
      </c>
    </row>
    <row r="133" spans="1:13" x14ac:dyDescent="0.25">
      <c r="A133">
        <v>131</v>
      </c>
      <c r="B133" t="s">
        <v>10</v>
      </c>
      <c r="C133" s="21" t="s">
        <v>11</v>
      </c>
      <c r="D133" s="15">
        <v>27566.12</v>
      </c>
      <c r="E133" s="15">
        <f t="shared" si="2"/>
        <v>-744.35000000000218</v>
      </c>
      <c r="F133" s="24">
        <v>-2.6292392885035099E-2</v>
      </c>
      <c r="G133" s="21">
        <v>14</v>
      </c>
      <c r="H133" s="25" t="s">
        <v>69</v>
      </c>
      <c r="I133" s="26">
        <v>45989</v>
      </c>
      <c r="J133" s="21" t="s">
        <v>21</v>
      </c>
      <c r="K133" s="18">
        <v>7671742311</v>
      </c>
      <c r="L133" s="12">
        <v>396241921.06957603</v>
      </c>
      <c r="M133" s="19">
        <v>0.87916666666666599</v>
      </c>
    </row>
    <row r="134" spans="1:13" x14ac:dyDescent="0.25">
      <c r="A134">
        <v>132</v>
      </c>
      <c r="B134" t="s">
        <v>10</v>
      </c>
      <c r="C134" s="21" t="s">
        <v>11</v>
      </c>
      <c r="D134" s="15">
        <v>27564.27</v>
      </c>
      <c r="E134" s="15">
        <f t="shared" ref="E134:E197" si="3">D134-D$17</f>
        <v>-746.20000000000073</v>
      </c>
      <c r="F134" s="24">
        <v>-2.6357739733745101E-2</v>
      </c>
      <c r="G134" s="21">
        <v>13</v>
      </c>
      <c r="H134" s="25" t="s">
        <v>70</v>
      </c>
      <c r="I134" s="26">
        <v>45993</v>
      </c>
      <c r="J134" s="21" t="s">
        <v>18</v>
      </c>
      <c r="K134" s="18">
        <v>7321099919</v>
      </c>
      <c r="L134" s="12">
        <v>362999255.71296</v>
      </c>
      <c r="M134" s="19">
        <v>0.79583333333333295</v>
      </c>
    </row>
    <row r="135" spans="1:13" x14ac:dyDescent="0.25">
      <c r="A135">
        <v>133</v>
      </c>
      <c r="B135" t="s">
        <v>10</v>
      </c>
      <c r="C135" s="21" t="s">
        <v>11</v>
      </c>
      <c r="D135" s="15">
        <v>27554.53</v>
      </c>
      <c r="E135" s="15">
        <f t="shared" si="3"/>
        <v>-755.94000000000233</v>
      </c>
      <c r="F135" s="24">
        <v>-2.6701782061548301E-2</v>
      </c>
      <c r="G135" s="21">
        <v>13</v>
      </c>
      <c r="H135" s="25" t="s">
        <v>70</v>
      </c>
      <c r="I135" s="26">
        <v>45988</v>
      </c>
      <c r="J135" s="21" t="s">
        <v>18</v>
      </c>
      <c r="K135" s="18">
        <v>7539156843</v>
      </c>
      <c r="L135" s="12">
        <v>362999255.71296</v>
      </c>
      <c r="M135" s="19">
        <v>0.79583333333333295</v>
      </c>
    </row>
    <row r="136" spans="1:13" x14ac:dyDescent="0.25">
      <c r="A136">
        <v>134</v>
      </c>
      <c r="B136" t="s">
        <v>10</v>
      </c>
      <c r="C136" s="21" t="s">
        <v>11</v>
      </c>
      <c r="D136" s="15">
        <v>27550.35</v>
      </c>
      <c r="E136" s="15">
        <f t="shared" si="3"/>
        <v>-760.12000000000262</v>
      </c>
      <c r="F136" s="24">
        <v>-2.6849430617012102E-2</v>
      </c>
      <c r="G136" s="21">
        <v>13</v>
      </c>
      <c r="H136" s="25" t="s">
        <v>70</v>
      </c>
      <c r="I136" s="26">
        <v>45993</v>
      </c>
      <c r="J136" s="21" t="s">
        <v>21</v>
      </c>
      <c r="K136" s="18">
        <v>7321099919</v>
      </c>
      <c r="L136" s="12">
        <v>362999255.71296</v>
      </c>
      <c r="M136" s="19">
        <v>0.79583333333333295</v>
      </c>
    </row>
    <row r="137" spans="1:13" x14ac:dyDescent="0.25">
      <c r="A137">
        <v>135</v>
      </c>
      <c r="B137" t="s">
        <v>10</v>
      </c>
      <c r="C137" s="21" t="s">
        <v>11</v>
      </c>
      <c r="D137" s="15">
        <v>27536.66</v>
      </c>
      <c r="E137" s="15">
        <f t="shared" si="3"/>
        <v>-773.81000000000131</v>
      </c>
      <c r="F137" s="24">
        <v>-2.7332997297466299E-2</v>
      </c>
      <c r="G137" s="21">
        <v>13</v>
      </c>
      <c r="H137" s="25" t="s">
        <v>70</v>
      </c>
      <c r="I137" s="26">
        <v>46007</v>
      </c>
      <c r="J137" s="21" t="s">
        <v>18</v>
      </c>
      <c r="K137" s="18">
        <v>9586999810</v>
      </c>
      <c r="L137" s="12">
        <v>362999255.71296</v>
      </c>
      <c r="M137" s="19">
        <v>0.79583333333333295</v>
      </c>
    </row>
    <row r="138" spans="1:13" x14ac:dyDescent="0.25">
      <c r="A138">
        <v>136</v>
      </c>
      <c r="B138" t="s">
        <v>10</v>
      </c>
      <c r="C138" s="21" t="s">
        <v>11</v>
      </c>
      <c r="D138" s="15">
        <v>27532.26</v>
      </c>
      <c r="E138" s="15">
        <f t="shared" si="3"/>
        <v>-778.21000000000276</v>
      </c>
      <c r="F138" s="24">
        <v>-2.7488416829533398E-2</v>
      </c>
      <c r="G138" s="21">
        <v>13</v>
      </c>
      <c r="H138" s="25" t="s">
        <v>70</v>
      </c>
      <c r="I138" s="26">
        <v>45953</v>
      </c>
      <c r="J138" s="21" t="s">
        <v>18</v>
      </c>
      <c r="K138" s="18">
        <v>7318554768</v>
      </c>
      <c r="L138" s="12">
        <v>362999255.71296</v>
      </c>
      <c r="M138" s="19">
        <v>0.79583333333333295</v>
      </c>
    </row>
    <row r="139" spans="1:13" x14ac:dyDescent="0.25">
      <c r="A139">
        <v>137</v>
      </c>
      <c r="B139" t="s">
        <v>10</v>
      </c>
      <c r="C139" s="21" t="s">
        <v>11</v>
      </c>
      <c r="D139" s="15">
        <v>27525.17</v>
      </c>
      <c r="E139" s="15">
        <f t="shared" si="3"/>
        <v>-785.30000000000291</v>
      </c>
      <c r="F139" s="24">
        <v>-2.7738854211887001E-2</v>
      </c>
      <c r="G139" s="21">
        <v>13</v>
      </c>
      <c r="H139" s="25" t="s">
        <v>70</v>
      </c>
      <c r="I139" s="26">
        <v>46008</v>
      </c>
      <c r="J139" s="21" t="s">
        <v>18</v>
      </c>
      <c r="K139" s="18">
        <v>9020647323</v>
      </c>
      <c r="L139" s="12">
        <v>362999255.71296</v>
      </c>
      <c r="M139" s="19">
        <v>0.79583333333333295</v>
      </c>
    </row>
    <row r="140" spans="1:13" x14ac:dyDescent="0.25">
      <c r="A140">
        <v>138</v>
      </c>
      <c r="B140" t="s">
        <v>10</v>
      </c>
      <c r="C140" s="21" t="s">
        <v>11</v>
      </c>
      <c r="D140" s="15">
        <v>27517.24</v>
      </c>
      <c r="E140" s="15">
        <f t="shared" si="3"/>
        <v>-793.22999999999956</v>
      </c>
      <c r="F140" s="24">
        <v>-2.8018962595817001E-2</v>
      </c>
      <c r="G140" s="21">
        <v>13</v>
      </c>
      <c r="H140" s="25" t="s">
        <v>70</v>
      </c>
      <c r="I140" s="26">
        <v>45988</v>
      </c>
      <c r="J140" s="21" t="s">
        <v>21</v>
      </c>
      <c r="K140" s="18">
        <v>7539156843</v>
      </c>
      <c r="L140" s="12">
        <v>362999255.71296</v>
      </c>
      <c r="M140" s="19">
        <v>0.79583333333333295</v>
      </c>
    </row>
    <row r="141" spans="1:13" x14ac:dyDescent="0.25">
      <c r="A141">
        <v>139</v>
      </c>
      <c r="B141" t="s">
        <v>10</v>
      </c>
      <c r="C141" s="21" t="s">
        <v>11</v>
      </c>
      <c r="D141" s="15">
        <v>27513.09</v>
      </c>
      <c r="E141" s="15">
        <f t="shared" si="3"/>
        <v>-797.38000000000102</v>
      </c>
      <c r="F141" s="24">
        <v>-2.8165551472653001E-2</v>
      </c>
      <c r="G141" s="21">
        <v>14</v>
      </c>
      <c r="H141" s="25" t="s">
        <v>71</v>
      </c>
      <c r="I141" s="26">
        <v>45947</v>
      </c>
      <c r="J141" s="21" t="s">
        <v>12</v>
      </c>
      <c r="K141" s="18">
        <v>8962849575</v>
      </c>
      <c r="L141" s="12">
        <v>405533659.54268599</v>
      </c>
      <c r="M141" s="19">
        <v>0.90833333333333299</v>
      </c>
    </row>
    <row r="142" spans="1:13" x14ac:dyDescent="0.25">
      <c r="A142">
        <v>140</v>
      </c>
      <c r="B142" t="s">
        <v>10</v>
      </c>
      <c r="C142" s="21" t="s">
        <v>11</v>
      </c>
      <c r="D142" s="15">
        <v>27507.16</v>
      </c>
      <c r="E142" s="15">
        <f t="shared" si="3"/>
        <v>-803.31000000000131</v>
      </c>
      <c r="F142" s="24">
        <v>-2.8375014614734399E-2</v>
      </c>
      <c r="G142" s="21">
        <v>15</v>
      </c>
      <c r="H142" s="25" t="s">
        <v>72</v>
      </c>
      <c r="I142" s="26">
        <v>45944</v>
      </c>
      <c r="J142" s="21" t="s">
        <v>12</v>
      </c>
      <c r="K142" s="18">
        <v>12066540173</v>
      </c>
      <c r="L142" s="12">
        <v>421771770.39317697</v>
      </c>
      <c r="M142" s="19">
        <v>0.94166666666666599</v>
      </c>
    </row>
    <row r="143" spans="1:13" x14ac:dyDescent="0.25">
      <c r="A143">
        <v>141</v>
      </c>
      <c r="B143" t="s">
        <v>10</v>
      </c>
      <c r="C143" s="21" t="s">
        <v>11</v>
      </c>
      <c r="D143" s="15">
        <v>27493.63</v>
      </c>
      <c r="E143" s="15">
        <f t="shared" si="3"/>
        <v>-816.84000000000015</v>
      </c>
      <c r="F143" s="24">
        <v>-2.8852929675840699E-2</v>
      </c>
      <c r="G143" s="21">
        <v>16</v>
      </c>
      <c r="H143" s="25" t="s">
        <v>73</v>
      </c>
      <c r="I143" s="26">
        <v>45981</v>
      </c>
      <c r="J143" s="21" t="s">
        <v>12</v>
      </c>
      <c r="K143" s="18">
        <v>8497528679</v>
      </c>
      <c r="L143" s="12">
        <v>449130201.42666101</v>
      </c>
      <c r="M143" s="19">
        <v>0.96041666666666603</v>
      </c>
    </row>
    <row r="144" spans="1:13" x14ac:dyDescent="0.25">
      <c r="A144">
        <v>142</v>
      </c>
      <c r="B144" t="s">
        <v>10</v>
      </c>
      <c r="C144" s="21" t="s">
        <v>11</v>
      </c>
      <c r="D144" s="15">
        <v>27490.89</v>
      </c>
      <c r="E144" s="15">
        <f t="shared" si="3"/>
        <v>-819.58000000000175</v>
      </c>
      <c r="F144" s="24">
        <v>-2.8949713657173502E-2</v>
      </c>
      <c r="G144" s="21">
        <v>16</v>
      </c>
      <c r="H144" s="25" t="s">
        <v>73</v>
      </c>
      <c r="I144" s="26">
        <v>45952</v>
      </c>
      <c r="J144" s="21" t="s">
        <v>25</v>
      </c>
      <c r="K144" s="18">
        <v>7835590935</v>
      </c>
      <c r="L144" s="12">
        <v>449130201.42666101</v>
      </c>
      <c r="M144" s="19">
        <v>0.96041666666666603</v>
      </c>
    </row>
    <row r="145" spans="1:13" x14ac:dyDescent="0.25">
      <c r="A145">
        <v>143</v>
      </c>
      <c r="B145" t="s">
        <v>10</v>
      </c>
      <c r="C145" s="21" t="s">
        <v>11</v>
      </c>
      <c r="D145" s="15">
        <v>27480.44</v>
      </c>
      <c r="E145" s="15">
        <f t="shared" si="3"/>
        <v>-830.03000000000247</v>
      </c>
      <c r="F145" s="24">
        <v>-2.9318835045832901E-2</v>
      </c>
      <c r="G145" s="21">
        <v>15</v>
      </c>
      <c r="H145" s="25" t="s">
        <v>74</v>
      </c>
      <c r="I145" s="26">
        <v>45950</v>
      </c>
      <c r="J145" s="21" t="s">
        <v>21</v>
      </c>
      <c r="K145" s="18">
        <v>8045886081</v>
      </c>
      <c r="L145" s="12">
        <v>415778746.01251298</v>
      </c>
      <c r="M145" s="19">
        <v>0.91458333333333297</v>
      </c>
    </row>
    <row r="146" spans="1:13" x14ac:dyDescent="0.25">
      <c r="A146">
        <v>144</v>
      </c>
      <c r="B146" t="s">
        <v>10</v>
      </c>
      <c r="C146" s="21" t="s">
        <v>11</v>
      </c>
      <c r="D146" s="15">
        <v>27477.1</v>
      </c>
      <c r="E146" s="15">
        <f t="shared" si="3"/>
        <v>-833.37000000000262</v>
      </c>
      <c r="F146" s="24">
        <v>-2.94368125997202E-2</v>
      </c>
      <c r="G146" s="21">
        <v>15</v>
      </c>
      <c r="H146" s="25" t="s">
        <v>74</v>
      </c>
      <c r="I146" s="26">
        <v>45993</v>
      </c>
      <c r="J146" s="21" t="s">
        <v>25</v>
      </c>
      <c r="K146" s="18">
        <v>7321099919</v>
      </c>
      <c r="L146" s="12">
        <v>415778746.01251298</v>
      </c>
      <c r="M146" s="19">
        <v>0.91458333333333297</v>
      </c>
    </row>
    <row r="147" spans="1:13" x14ac:dyDescent="0.25">
      <c r="A147">
        <v>145</v>
      </c>
      <c r="B147" t="s">
        <v>10</v>
      </c>
      <c r="C147" s="21" t="s">
        <v>11</v>
      </c>
      <c r="D147" s="15">
        <v>27469.599999999999</v>
      </c>
      <c r="E147" s="15">
        <f t="shared" si="3"/>
        <v>-840.87000000000262</v>
      </c>
      <c r="F147" s="24">
        <v>-2.9701732256652801E-2</v>
      </c>
      <c r="G147" s="21">
        <v>14</v>
      </c>
      <c r="H147" s="25" t="s">
        <v>75</v>
      </c>
      <c r="I147" s="26">
        <v>46008</v>
      </c>
      <c r="J147" s="21" t="s">
        <v>25</v>
      </c>
      <c r="K147" s="18">
        <v>9020647323</v>
      </c>
      <c r="L147" s="12">
        <v>388130043.57284403</v>
      </c>
      <c r="M147" s="19">
        <v>0.85</v>
      </c>
    </row>
    <row r="148" spans="1:13" x14ac:dyDescent="0.25">
      <c r="A148">
        <v>146</v>
      </c>
      <c r="B148" t="s">
        <v>10</v>
      </c>
      <c r="C148" s="21" t="s">
        <v>11</v>
      </c>
      <c r="D148" s="15">
        <v>27468.53</v>
      </c>
      <c r="E148" s="15">
        <f t="shared" si="3"/>
        <v>-841.94000000000233</v>
      </c>
      <c r="F148" s="24">
        <v>-2.97395274610418E-2</v>
      </c>
      <c r="G148" s="21">
        <v>13</v>
      </c>
      <c r="H148" s="25" t="s">
        <v>76</v>
      </c>
      <c r="I148" s="26">
        <v>46009</v>
      </c>
      <c r="J148" s="21" t="s">
        <v>18</v>
      </c>
      <c r="K148" s="18">
        <v>8450315748</v>
      </c>
      <c r="L148" s="12">
        <v>359133138.101758</v>
      </c>
      <c r="M148" s="19">
        <v>0.77916666666666601</v>
      </c>
    </row>
    <row r="149" spans="1:13" x14ac:dyDescent="0.25">
      <c r="A149">
        <v>147</v>
      </c>
      <c r="B149" t="s">
        <v>10</v>
      </c>
      <c r="C149" s="21" t="s">
        <v>11</v>
      </c>
      <c r="D149" s="15">
        <v>27463.119999999999</v>
      </c>
      <c r="E149" s="15">
        <f t="shared" si="3"/>
        <v>-847.35000000000218</v>
      </c>
      <c r="F149" s="24">
        <v>-2.9930622840242501E-2</v>
      </c>
      <c r="G149" s="21">
        <v>14</v>
      </c>
      <c r="H149" s="25" t="s">
        <v>77</v>
      </c>
      <c r="I149" s="26">
        <v>45939</v>
      </c>
      <c r="J149" s="21" t="s">
        <v>12</v>
      </c>
      <c r="K149" s="18">
        <v>9444331803</v>
      </c>
      <c r="L149" s="12">
        <v>404095441.37716901</v>
      </c>
      <c r="M149" s="19">
        <v>0.89583333333333304</v>
      </c>
    </row>
    <row r="150" spans="1:13" x14ac:dyDescent="0.25">
      <c r="A150">
        <v>148</v>
      </c>
      <c r="B150" t="s">
        <v>10</v>
      </c>
      <c r="C150" s="21" t="s">
        <v>11</v>
      </c>
      <c r="D150" s="15">
        <v>27457.07</v>
      </c>
      <c r="E150" s="15">
        <f t="shared" si="3"/>
        <v>-853.40000000000146</v>
      </c>
      <c r="F150" s="24">
        <v>-3.0144324696834798E-2</v>
      </c>
      <c r="G150" s="21">
        <v>14</v>
      </c>
      <c r="H150" s="25" t="s">
        <v>77</v>
      </c>
      <c r="I150" s="26">
        <v>45953</v>
      </c>
      <c r="J150" s="21" t="s">
        <v>21</v>
      </c>
      <c r="K150" s="18">
        <v>7318554768</v>
      </c>
      <c r="L150" s="12">
        <v>404095441.37716901</v>
      </c>
      <c r="M150" s="19">
        <v>0.89583333333333304</v>
      </c>
    </row>
    <row r="151" spans="1:13" x14ac:dyDescent="0.25">
      <c r="A151">
        <v>149</v>
      </c>
      <c r="B151" t="s">
        <v>10</v>
      </c>
      <c r="C151" s="21" t="s">
        <v>11</v>
      </c>
      <c r="D151" s="15">
        <v>27447.45</v>
      </c>
      <c r="E151" s="15">
        <f t="shared" si="3"/>
        <v>-863.02000000000044</v>
      </c>
      <c r="F151" s="24">
        <v>-3.0484128310126899E-2</v>
      </c>
      <c r="G151" s="21">
        <v>14</v>
      </c>
      <c r="H151" s="25" t="s">
        <v>77</v>
      </c>
      <c r="I151" s="26">
        <v>46009</v>
      </c>
      <c r="J151" s="21" t="s">
        <v>21</v>
      </c>
      <c r="K151" s="18">
        <v>8450315748</v>
      </c>
      <c r="L151" s="12">
        <v>404095441.37716901</v>
      </c>
      <c r="M151" s="19">
        <v>0.89583333333333304</v>
      </c>
    </row>
    <row r="152" spans="1:13" x14ac:dyDescent="0.25">
      <c r="A152">
        <v>150</v>
      </c>
      <c r="B152" t="s">
        <v>10</v>
      </c>
      <c r="C152" s="21" t="s">
        <v>11</v>
      </c>
      <c r="D152" s="15">
        <v>27447.31</v>
      </c>
      <c r="E152" s="15">
        <f t="shared" si="3"/>
        <v>-863.15999999999985</v>
      </c>
      <c r="F152" s="24">
        <v>-3.0489073477056299E-2</v>
      </c>
      <c r="G152" s="21">
        <v>14</v>
      </c>
      <c r="H152" s="25" t="s">
        <v>77</v>
      </c>
      <c r="I152" s="26">
        <v>45978</v>
      </c>
      <c r="J152" s="21" t="s">
        <v>18</v>
      </c>
      <c r="K152" s="18">
        <v>8604107358</v>
      </c>
      <c r="L152" s="12">
        <v>404095441.37716901</v>
      </c>
      <c r="M152" s="19">
        <v>0.89583333333333304</v>
      </c>
    </row>
    <row r="153" spans="1:13" x14ac:dyDescent="0.25">
      <c r="A153">
        <v>151</v>
      </c>
      <c r="B153" t="s">
        <v>10</v>
      </c>
      <c r="C153" s="21" t="s">
        <v>11</v>
      </c>
      <c r="D153" s="15">
        <v>27447.31</v>
      </c>
      <c r="E153" s="15">
        <f t="shared" si="3"/>
        <v>-863.15999999999985</v>
      </c>
      <c r="F153" s="24">
        <v>-3.0489073477056299E-2</v>
      </c>
      <c r="G153" s="21">
        <v>14</v>
      </c>
      <c r="H153" s="25" t="s">
        <v>77</v>
      </c>
      <c r="I153" s="26">
        <v>45978</v>
      </c>
      <c r="J153" s="21" t="s">
        <v>25</v>
      </c>
      <c r="K153" s="18">
        <v>8604107358</v>
      </c>
      <c r="L153" s="12">
        <v>404095441.37716901</v>
      </c>
      <c r="M153" s="19">
        <v>0.89583333333333304</v>
      </c>
    </row>
    <row r="154" spans="1:13" x14ac:dyDescent="0.25">
      <c r="A154">
        <v>152</v>
      </c>
      <c r="B154" t="s">
        <v>10</v>
      </c>
      <c r="C154" s="21" t="s">
        <v>11</v>
      </c>
      <c r="D154" s="15">
        <v>27436.59</v>
      </c>
      <c r="E154" s="15">
        <f t="shared" si="3"/>
        <v>-873.88000000000102</v>
      </c>
      <c r="F154" s="24">
        <v>-3.0867731973365301E-2</v>
      </c>
      <c r="G154" s="21">
        <v>13</v>
      </c>
      <c r="H154" s="25" t="s">
        <v>78</v>
      </c>
      <c r="I154" s="26">
        <v>45988</v>
      </c>
      <c r="J154" s="21" t="s">
        <v>25</v>
      </c>
      <c r="K154" s="18">
        <v>7539156843</v>
      </c>
      <c r="L154" s="12">
        <v>372973010.07426798</v>
      </c>
      <c r="M154" s="19">
        <v>0.81666666666666599</v>
      </c>
    </row>
    <row r="155" spans="1:13" x14ac:dyDescent="0.25">
      <c r="A155">
        <v>153</v>
      </c>
      <c r="B155" t="s">
        <v>10</v>
      </c>
      <c r="C155" s="21" t="s">
        <v>11</v>
      </c>
      <c r="D155" s="15">
        <v>27426.36</v>
      </c>
      <c r="E155" s="15">
        <f t="shared" si="3"/>
        <v>-884.11000000000058</v>
      </c>
      <c r="F155" s="24">
        <v>-3.1229082385421301E-2</v>
      </c>
      <c r="G155" s="21">
        <v>12</v>
      </c>
      <c r="H155" s="25" t="s">
        <v>79</v>
      </c>
      <c r="I155" s="26">
        <v>45981</v>
      </c>
      <c r="J155" s="21" t="s">
        <v>18</v>
      </c>
      <c r="K155" s="18">
        <v>8497528679</v>
      </c>
      <c r="L155" s="12">
        <v>339084589.86929703</v>
      </c>
      <c r="M155" s="19">
        <v>0.64375000000000004</v>
      </c>
    </row>
    <row r="156" spans="1:13" x14ac:dyDescent="0.25">
      <c r="A156">
        <v>154</v>
      </c>
      <c r="B156" t="s">
        <v>10</v>
      </c>
      <c r="C156" s="21" t="s">
        <v>11</v>
      </c>
      <c r="D156" s="15">
        <v>27412.45</v>
      </c>
      <c r="E156" s="15">
        <f t="shared" si="3"/>
        <v>-898.02000000000044</v>
      </c>
      <c r="F156" s="24">
        <v>-3.1720420042478999E-2</v>
      </c>
      <c r="G156" s="21">
        <v>12</v>
      </c>
      <c r="H156" s="25" t="s">
        <v>79</v>
      </c>
      <c r="I156" s="26">
        <v>45950</v>
      </c>
      <c r="J156" s="21" t="s">
        <v>25</v>
      </c>
      <c r="K156" s="18">
        <v>8045886081</v>
      </c>
      <c r="L156" s="12">
        <v>339084589.86929703</v>
      </c>
      <c r="M156" s="19">
        <v>0.64375000000000004</v>
      </c>
    </row>
    <row r="157" spans="1:13" x14ac:dyDescent="0.25">
      <c r="A157">
        <v>155</v>
      </c>
      <c r="B157" t="s">
        <v>10</v>
      </c>
      <c r="C157" s="21" t="s">
        <v>11</v>
      </c>
      <c r="D157" s="15">
        <v>27409.54</v>
      </c>
      <c r="E157" s="15">
        <f t="shared" si="3"/>
        <v>-900.93000000000029</v>
      </c>
      <c r="F157" s="24">
        <v>-3.1823208869368798E-2</v>
      </c>
      <c r="G157" s="21">
        <v>12</v>
      </c>
      <c r="H157" s="25" t="s">
        <v>80</v>
      </c>
      <c r="I157" s="26">
        <v>45987</v>
      </c>
      <c r="J157" s="21" t="s">
        <v>18</v>
      </c>
      <c r="K157" s="18">
        <v>7902773415</v>
      </c>
      <c r="L157" s="12">
        <v>339288340.11124498</v>
      </c>
      <c r="M157" s="19">
        <v>0.65833333333333299</v>
      </c>
    </row>
    <row r="158" spans="1:13" x14ac:dyDescent="0.25">
      <c r="A158">
        <v>156</v>
      </c>
      <c r="B158" t="s">
        <v>10</v>
      </c>
      <c r="C158" s="21" t="s">
        <v>11</v>
      </c>
      <c r="D158" s="15">
        <v>27409.54</v>
      </c>
      <c r="E158" s="15">
        <f t="shared" si="3"/>
        <v>-900.93000000000029</v>
      </c>
      <c r="F158" s="24">
        <v>-3.1823208869368798E-2</v>
      </c>
      <c r="G158" s="21">
        <v>12</v>
      </c>
      <c r="H158" s="25" t="s">
        <v>80</v>
      </c>
      <c r="I158" s="26">
        <v>45987</v>
      </c>
      <c r="J158" s="21" t="s">
        <v>12</v>
      </c>
      <c r="K158" s="18">
        <v>7902773415</v>
      </c>
      <c r="L158" s="12">
        <v>339288340.11124498</v>
      </c>
      <c r="M158" s="19">
        <v>0.65833333333333299</v>
      </c>
    </row>
    <row r="159" spans="1:13" x14ac:dyDescent="0.25">
      <c r="A159">
        <v>157</v>
      </c>
      <c r="B159" t="s">
        <v>10</v>
      </c>
      <c r="C159" s="21" t="s">
        <v>11</v>
      </c>
      <c r="D159" s="15">
        <v>27399.91</v>
      </c>
      <c r="E159" s="15">
        <f t="shared" si="3"/>
        <v>-910.56000000000131</v>
      </c>
      <c r="F159" s="24">
        <v>-3.2163365708870198E-2</v>
      </c>
      <c r="G159" s="21">
        <v>12</v>
      </c>
      <c r="H159" s="25" t="s">
        <v>80</v>
      </c>
      <c r="I159" s="26">
        <v>45947</v>
      </c>
      <c r="J159" s="21" t="s">
        <v>21</v>
      </c>
      <c r="K159" s="18">
        <v>8962849575</v>
      </c>
      <c r="L159" s="12">
        <v>339288340.11124498</v>
      </c>
      <c r="M159" s="19">
        <v>0.65833333333333299</v>
      </c>
    </row>
    <row r="160" spans="1:13" x14ac:dyDescent="0.25">
      <c r="A160">
        <v>158</v>
      </c>
      <c r="B160" t="s">
        <v>10</v>
      </c>
      <c r="C160" s="21" t="s">
        <v>11</v>
      </c>
      <c r="D160" s="15">
        <v>27397.5</v>
      </c>
      <c r="E160" s="15">
        <f t="shared" si="3"/>
        <v>-912.97000000000116</v>
      </c>
      <c r="F160" s="24">
        <v>-3.2248493225297901E-2</v>
      </c>
      <c r="G160" s="21">
        <v>12</v>
      </c>
      <c r="H160" s="25" t="s">
        <v>80</v>
      </c>
      <c r="I160" s="26">
        <v>45975</v>
      </c>
      <c r="J160" s="21" t="s">
        <v>18</v>
      </c>
      <c r="K160" s="18">
        <v>9939352945</v>
      </c>
      <c r="L160" s="12">
        <v>339288340.11124498</v>
      </c>
      <c r="M160" s="19">
        <v>0.65833333333333299</v>
      </c>
    </row>
    <row r="161" spans="1:13" x14ac:dyDescent="0.25">
      <c r="A161">
        <v>159</v>
      </c>
      <c r="B161" t="s">
        <v>10</v>
      </c>
      <c r="C161" s="21" t="s">
        <v>11</v>
      </c>
      <c r="D161" s="15">
        <v>27383.34</v>
      </c>
      <c r="E161" s="15">
        <f t="shared" si="3"/>
        <v>-927.13000000000102</v>
      </c>
      <c r="F161" s="24">
        <v>-3.2748661537586599E-2</v>
      </c>
      <c r="G161" s="21">
        <v>12</v>
      </c>
      <c r="H161" s="25" t="s">
        <v>80</v>
      </c>
      <c r="I161" s="26">
        <v>45975</v>
      </c>
      <c r="J161" s="21" t="s">
        <v>25</v>
      </c>
      <c r="K161" s="18">
        <v>9939352945</v>
      </c>
      <c r="L161" s="12">
        <v>339288340.11124498</v>
      </c>
      <c r="M161" s="19">
        <v>0.65833333333333299</v>
      </c>
    </row>
    <row r="162" spans="1:13" x14ac:dyDescent="0.25">
      <c r="A162">
        <v>160</v>
      </c>
      <c r="B162" t="s">
        <v>10</v>
      </c>
      <c r="C162" s="21" t="s">
        <v>11</v>
      </c>
      <c r="D162" s="15">
        <v>27373.05</v>
      </c>
      <c r="E162" s="15">
        <f t="shared" si="3"/>
        <v>-937.42000000000189</v>
      </c>
      <c r="F162" s="24">
        <v>-3.31121313068981E-2</v>
      </c>
      <c r="G162" s="21">
        <v>11</v>
      </c>
      <c r="H162" s="25" t="s">
        <v>81</v>
      </c>
      <c r="I162" s="26">
        <v>45966</v>
      </c>
      <c r="J162" s="21" t="s">
        <v>25</v>
      </c>
      <c r="K162" s="18">
        <v>8989778518</v>
      </c>
      <c r="L162" s="12">
        <v>316339544.32033801</v>
      </c>
      <c r="M162" s="19">
        <v>0.60833333333333295</v>
      </c>
    </row>
    <row r="163" spans="1:13" x14ac:dyDescent="0.25">
      <c r="A163">
        <v>161</v>
      </c>
      <c r="B163" t="s">
        <v>10</v>
      </c>
      <c r="C163" s="21" t="s">
        <v>11</v>
      </c>
      <c r="D163" s="15">
        <v>27371.67</v>
      </c>
      <c r="E163" s="15">
        <f t="shared" si="3"/>
        <v>-938.80000000000291</v>
      </c>
      <c r="F163" s="24">
        <v>-3.3160876523773801E-2</v>
      </c>
      <c r="G163" s="21">
        <v>10</v>
      </c>
      <c r="H163" s="25" t="s">
        <v>82</v>
      </c>
      <c r="I163" s="26">
        <v>45953</v>
      </c>
      <c r="J163" s="21" t="s">
        <v>25</v>
      </c>
      <c r="K163" s="18">
        <v>7318554768</v>
      </c>
      <c r="L163" s="12">
        <v>295238759.14054197</v>
      </c>
      <c r="M163" s="19">
        <v>0.49583333333333302</v>
      </c>
    </row>
    <row r="164" spans="1:13" x14ac:dyDescent="0.25">
      <c r="A164">
        <v>162</v>
      </c>
      <c r="B164" t="s">
        <v>10</v>
      </c>
      <c r="C164" s="21" t="s">
        <v>11</v>
      </c>
      <c r="D164" s="15">
        <v>27355.67</v>
      </c>
      <c r="E164" s="15">
        <f t="shared" si="3"/>
        <v>-954.80000000000291</v>
      </c>
      <c r="F164" s="24">
        <v>-3.3726038458563298E-2</v>
      </c>
      <c r="G164" s="21">
        <v>9</v>
      </c>
      <c r="H164" s="25" t="s">
        <v>83</v>
      </c>
      <c r="I164" s="26">
        <v>46007</v>
      </c>
      <c r="J164" s="21" t="s">
        <v>25</v>
      </c>
      <c r="K164" s="18">
        <v>9586999810</v>
      </c>
      <c r="L164" s="12">
        <v>261227444.111265</v>
      </c>
      <c r="M164" s="19">
        <v>0.41666666666666602</v>
      </c>
    </row>
    <row r="165" spans="1:13" x14ac:dyDescent="0.25">
      <c r="A165">
        <v>163</v>
      </c>
      <c r="B165" t="s">
        <v>10</v>
      </c>
      <c r="C165" s="21" t="s">
        <v>11</v>
      </c>
      <c r="D165" s="15">
        <v>27350.77</v>
      </c>
      <c r="E165" s="15">
        <f t="shared" si="3"/>
        <v>-959.70000000000073</v>
      </c>
      <c r="F165" s="24">
        <v>-3.3899119301092497E-2</v>
      </c>
      <c r="G165" s="21">
        <v>8</v>
      </c>
      <c r="H165" s="25" t="s">
        <v>84</v>
      </c>
      <c r="I165" s="26">
        <v>46009</v>
      </c>
      <c r="J165" s="21" t="s">
        <v>25</v>
      </c>
      <c r="K165" s="18">
        <v>8450315748</v>
      </c>
      <c r="L165" s="12">
        <v>236325499.09970599</v>
      </c>
      <c r="M165" s="19">
        <v>0.391666666666666</v>
      </c>
    </row>
    <row r="166" spans="1:13" x14ac:dyDescent="0.25">
      <c r="A166">
        <v>164</v>
      </c>
      <c r="B166" t="s">
        <v>10</v>
      </c>
      <c r="C166" s="21" t="s">
        <v>11</v>
      </c>
      <c r="D166" s="15">
        <v>27342.53</v>
      </c>
      <c r="E166" s="15">
        <f t="shared" si="3"/>
        <v>-967.94000000000233</v>
      </c>
      <c r="F166" s="24">
        <v>-3.4190177697509101E-2</v>
      </c>
      <c r="G166" s="21">
        <v>7</v>
      </c>
      <c r="H166" s="25" t="s">
        <v>85</v>
      </c>
      <c r="I166" s="26">
        <v>45992</v>
      </c>
      <c r="J166" s="21" t="s">
        <v>18</v>
      </c>
      <c r="K166" s="18">
        <v>7418235597</v>
      </c>
      <c r="L166" s="12">
        <v>197681351.53488201</v>
      </c>
      <c r="M166" s="19">
        <v>0.34791666666666599</v>
      </c>
    </row>
    <row r="167" spans="1:13" x14ac:dyDescent="0.25">
      <c r="A167">
        <v>165</v>
      </c>
      <c r="B167" t="s">
        <v>10</v>
      </c>
      <c r="C167" s="21" t="s">
        <v>11</v>
      </c>
      <c r="D167" s="15">
        <v>27342.53</v>
      </c>
      <c r="E167" s="15">
        <f t="shared" si="3"/>
        <v>-967.94000000000233</v>
      </c>
      <c r="F167" s="24">
        <v>-3.4190177697509101E-2</v>
      </c>
      <c r="G167" s="21">
        <v>7</v>
      </c>
      <c r="H167" s="25" t="s">
        <v>85</v>
      </c>
      <c r="I167" s="26">
        <v>45992</v>
      </c>
      <c r="J167" s="21" t="s">
        <v>25</v>
      </c>
      <c r="K167" s="18">
        <v>7418235597</v>
      </c>
      <c r="L167" s="12">
        <v>197681351.53488201</v>
      </c>
      <c r="M167" s="19">
        <v>0.34791666666666599</v>
      </c>
    </row>
    <row r="168" spans="1:13" x14ac:dyDescent="0.25">
      <c r="A168">
        <v>166</v>
      </c>
      <c r="B168" t="s">
        <v>10</v>
      </c>
      <c r="C168" s="21" t="s">
        <v>11</v>
      </c>
      <c r="D168" s="15">
        <v>27337.32</v>
      </c>
      <c r="E168" s="15">
        <f t="shared" si="3"/>
        <v>-973.15000000000146</v>
      </c>
      <c r="F168" s="24">
        <v>-3.4374208552524897E-2</v>
      </c>
      <c r="G168" s="21">
        <v>6</v>
      </c>
      <c r="H168" s="25" t="s">
        <v>86</v>
      </c>
      <c r="I168" s="26">
        <v>45946</v>
      </c>
      <c r="J168" s="21" t="s">
        <v>25</v>
      </c>
      <c r="K168" s="18">
        <v>9035460141</v>
      </c>
      <c r="L168" s="12">
        <v>176757210.850032</v>
      </c>
      <c r="M168" s="19">
        <v>0.32291666666666602</v>
      </c>
    </row>
    <row r="169" spans="1:13" x14ac:dyDescent="0.25">
      <c r="A169">
        <v>167</v>
      </c>
      <c r="B169" t="s">
        <v>10</v>
      </c>
      <c r="C169" s="21" t="s">
        <v>11</v>
      </c>
      <c r="D169" s="15">
        <v>27337.32</v>
      </c>
      <c r="E169" s="15">
        <f t="shared" si="3"/>
        <v>-973.15000000000146</v>
      </c>
      <c r="F169" s="24">
        <v>-3.4374208552524897E-2</v>
      </c>
      <c r="G169" s="21">
        <v>6</v>
      </c>
      <c r="H169" s="25" t="s">
        <v>86</v>
      </c>
      <c r="I169" s="26">
        <v>45946</v>
      </c>
      <c r="J169" s="21" t="s">
        <v>21</v>
      </c>
      <c r="K169" s="18">
        <v>9035460141</v>
      </c>
      <c r="L169" s="12">
        <v>176757210.850032</v>
      </c>
      <c r="M169" s="19">
        <v>0.32291666666666602</v>
      </c>
    </row>
    <row r="170" spans="1:13" x14ac:dyDescent="0.25">
      <c r="A170">
        <v>168</v>
      </c>
      <c r="B170" t="s">
        <v>10</v>
      </c>
      <c r="C170" s="21" t="s">
        <v>11</v>
      </c>
      <c r="D170" s="15">
        <v>27310.400000000001</v>
      </c>
      <c r="E170" s="15">
        <f t="shared" si="3"/>
        <v>-1000.0699999999997</v>
      </c>
      <c r="F170" s="24">
        <v>-3.53250935078082E-2</v>
      </c>
      <c r="G170" s="21">
        <v>6</v>
      </c>
      <c r="H170" s="25" t="s">
        <v>87</v>
      </c>
      <c r="I170" s="26">
        <v>45979</v>
      </c>
      <c r="J170" s="21" t="s">
        <v>12</v>
      </c>
      <c r="K170" s="18">
        <v>10450443082</v>
      </c>
      <c r="L170" s="12">
        <v>172763322.513062</v>
      </c>
      <c r="M170" s="19">
        <v>0.31041666666666601</v>
      </c>
    </row>
    <row r="171" spans="1:13" x14ac:dyDescent="0.25">
      <c r="A171">
        <v>169</v>
      </c>
      <c r="B171" t="s">
        <v>10</v>
      </c>
      <c r="C171" s="21" t="s">
        <v>11</v>
      </c>
      <c r="D171" s="15">
        <v>27310.400000000001</v>
      </c>
      <c r="E171" s="15">
        <f t="shared" si="3"/>
        <v>-1000.0699999999997</v>
      </c>
      <c r="F171" s="24">
        <v>-3.53250935078082E-2</v>
      </c>
      <c r="G171" s="21">
        <v>6</v>
      </c>
      <c r="H171" s="25" t="s">
        <v>87</v>
      </c>
      <c r="I171" s="26">
        <v>45979</v>
      </c>
      <c r="J171" s="21" t="s">
        <v>21</v>
      </c>
      <c r="K171" s="18">
        <v>10450443082</v>
      </c>
      <c r="L171" s="12">
        <v>172763322.513062</v>
      </c>
      <c r="M171" s="19">
        <v>0.31041666666666601</v>
      </c>
    </row>
    <row r="172" spans="1:13" x14ac:dyDescent="0.25">
      <c r="A172">
        <v>170</v>
      </c>
      <c r="B172" t="s">
        <v>10</v>
      </c>
      <c r="C172" s="21" t="s">
        <v>11</v>
      </c>
      <c r="D172" s="15">
        <v>27302.37</v>
      </c>
      <c r="E172" s="15">
        <f t="shared" si="3"/>
        <v>-1008.1000000000022</v>
      </c>
      <c r="F172" s="24">
        <v>-3.5608734153830798E-2</v>
      </c>
      <c r="G172" s="21">
        <v>6</v>
      </c>
      <c r="H172" s="25" t="s">
        <v>87</v>
      </c>
      <c r="I172" s="26">
        <v>45947</v>
      </c>
      <c r="J172" s="21" t="s">
        <v>18</v>
      </c>
      <c r="K172" s="18">
        <v>8962849575</v>
      </c>
      <c r="L172" s="12">
        <v>172763322.513062</v>
      </c>
      <c r="M172" s="19">
        <v>0.31041666666666601</v>
      </c>
    </row>
    <row r="173" spans="1:13" x14ac:dyDescent="0.25">
      <c r="A173">
        <v>171</v>
      </c>
      <c r="B173" t="s">
        <v>10</v>
      </c>
      <c r="C173" s="21" t="s">
        <v>11</v>
      </c>
      <c r="D173" s="15">
        <v>27302.37</v>
      </c>
      <c r="E173" s="15">
        <f t="shared" si="3"/>
        <v>-1008.1000000000022</v>
      </c>
      <c r="F173" s="24">
        <v>-3.5608734153830798E-2</v>
      </c>
      <c r="G173" s="21">
        <v>6</v>
      </c>
      <c r="H173" s="25" t="s">
        <v>87</v>
      </c>
      <c r="I173" s="26">
        <v>45947</v>
      </c>
      <c r="J173" s="21" t="s">
        <v>25</v>
      </c>
      <c r="K173" s="18">
        <v>8962849575</v>
      </c>
      <c r="L173" s="12">
        <v>172763322.513062</v>
      </c>
      <c r="M173" s="19">
        <v>0.31041666666666601</v>
      </c>
    </row>
    <row r="174" spans="1:13" x14ac:dyDescent="0.25">
      <c r="A174">
        <v>172</v>
      </c>
      <c r="B174" t="s">
        <v>10</v>
      </c>
      <c r="C174" s="21" t="s">
        <v>11</v>
      </c>
      <c r="D174" s="21">
        <v>27301.919999999998</v>
      </c>
      <c r="E174" s="21">
        <f t="shared" si="3"/>
        <v>-1008.5500000000029</v>
      </c>
      <c r="F174" s="24">
        <v>-3.5624629333246699E-2</v>
      </c>
      <c r="G174" s="21">
        <v>5</v>
      </c>
      <c r="H174" s="25" t="s">
        <v>88</v>
      </c>
      <c r="I174" s="26">
        <v>45939</v>
      </c>
      <c r="J174" s="21" t="s">
        <v>18</v>
      </c>
      <c r="K174" s="18">
        <v>9444331803</v>
      </c>
      <c r="L174" s="18">
        <v>130228918.68333501</v>
      </c>
      <c r="M174" s="19">
        <v>0.18958333333333299</v>
      </c>
    </row>
    <row r="175" spans="1:13" x14ac:dyDescent="0.25">
      <c r="A175">
        <v>173</v>
      </c>
      <c r="B175" t="s">
        <v>10</v>
      </c>
      <c r="C175" s="21" t="s">
        <v>11</v>
      </c>
      <c r="D175" s="21">
        <v>27301.61</v>
      </c>
      <c r="E175" s="21">
        <f t="shared" si="3"/>
        <v>-1008.8600000000006</v>
      </c>
      <c r="F175" s="24">
        <v>-3.56355793457332E-2</v>
      </c>
      <c r="G175" s="21">
        <v>5</v>
      </c>
      <c r="H175" s="25" t="s">
        <v>88</v>
      </c>
      <c r="I175" s="26">
        <v>45939</v>
      </c>
      <c r="J175" s="21" t="s">
        <v>21</v>
      </c>
      <c r="K175" s="18">
        <v>9444331803</v>
      </c>
      <c r="L175" s="18">
        <v>130228918.68333501</v>
      </c>
      <c r="M175" s="19">
        <v>0.18958333333333299</v>
      </c>
    </row>
    <row r="176" spans="1:13" x14ac:dyDescent="0.25">
      <c r="A176">
        <v>174</v>
      </c>
      <c r="B176" t="s">
        <v>10</v>
      </c>
      <c r="C176" s="21" t="s">
        <v>11</v>
      </c>
      <c r="D176" s="21">
        <v>27301.42</v>
      </c>
      <c r="E176" s="21">
        <f t="shared" si="3"/>
        <v>-1009.0500000000029</v>
      </c>
      <c r="F176" s="24">
        <v>-3.5642290643708899E-2</v>
      </c>
      <c r="G176" s="21">
        <v>6</v>
      </c>
      <c r="H176" s="25" t="s">
        <v>89</v>
      </c>
      <c r="I176" s="26">
        <v>45937</v>
      </c>
      <c r="J176" s="21" t="s">
        <v>12</v>
      </c>
      <c r="K176" s="18">
        <v>9348656371</v>
      </c>
      <c r="L176" s="18">
        <v>163107361.29077801</v>
      </c>
      <c r="M176" s="19">
        <v>0.28125</v>
      </c>
    </row>
    <row r="177" spans="1:13" x14ac:dyDescent="0.25">
      <c r="A177">
        <v>175</v>
      </c>
      <c r="B177" t="s">
        <v>10</v>
      </c>
      <c r="C177" s="21" t="s">
        <v>11</v>
      </c>
      <c r="D177" s="21">
        <v>27282.1</v>
      </c>
      <c r="E177" s="21">
        <f t="shared" si="3"/>
        <v>-1028.3700000000026</v>
      </c>
      <c r="F177" s="24">
        <v>-3.6324723679967197E-2</v>
      </c>
      <c r="G177" s="21">
        <v>6</v>
      </c>
      <c r="H177" s="25" t="s">
        <v>89</v>
      </c>
      <c r="I177" s="26">
        <v>45944</v>
      </c>
      <c r="J177" s="21" t="s">
        <v>21</v>
      </c>
      <c r="K177" s="18">
        <v>12066540173</v>
      </c>
      <c r="L177" s="18">
        <v>163107361.29077801</v>
      </c>
      <c r="M177" s="19">
        <v>0.28125</v>
      </c>
    </row>
    <row r="178" spans="1:13" x14ac:dyDescent="0.25">
      <c r="A178">
        <v>176</v>
      </c>
      <c r="B178" t="s">
        <v>10</v>
      </c>
      <c r="C178" s="21" t="s">
        <v>11</v>
      </c>
      <c r="D178" s="15">
        <v>27275.71</v>
      </c>
      <c r="E178" s="15">
        <f t="shared" si="3"/>
        <v>-1034.760000000002</v>
      </c>
      <c r="F178" s="24">
        <v>-3.6550435227673699E-2</v>
      </c>
      <c r="G178" s="21">
        <v>7</v>
      </c>
      <c r="H178" s="25" t="s">
        <v>90</v>
      </c>
      <c r="I178" s="26">
        <v>45945</v>
      </c>
      <c r="J178" s="21" t="s">
        <v>18</v>
      </c>
      <c r="K178" s="18">
        <v>8387861014</v>
      </c>
      <c r="L178" s="12">
        <v>179797629.14735201</v>
      </c>
      <c r="M178" s="19">
        <v>0.33333333333333298</v>
      </c>
    </row>
    <row r="179" spans="1:13" x14ac:dyDescent="0.25">
      <c r="A179">
        <v>177</v>
      </c>
      <c r="B179" t="s">
        <v>10</v>
      </c>
      <c r="C179" s="21" t="s">
        <v>11</v>
      </c>
      <c r="D179" s="15">
        <v>27275.71</v>
      </c>
      <c r="E179" s="15">
        <f t="shared" si="3"/>
        <v>-1034.760000000002</v>
      </c>
      <c r="F179" s="24">
        <v>-3.6550435227673699E-2</v>
      </c>
      <c r="G179" s="21">
        <v>7</v>
      </c>
      <c r="H179" s="25" t="s">
        <v>90</v>
      </c>
      <c r="I179" s="26">
        <v>45945</v>
      </c>
      <c r="J179" s="21" t="s">
        <v>12</v>
      </c>
      <c r="K179" s="18">
        <v>8387861014</v>
      </c>
      <c r="L179" s="12">
        <v>179797629.14735201</v>
      </c>
      <c r="M179" s="19">
        <v>0.33333333333333298</v>
      </c>
    </row>
    <row r="180" spans="1:13" x14ac:dyDescent="0.25">
      <c r="A180">
        <v>178</v>
      </c>
      <c r="B180" t="s">
        <v>10</v>
      </c>
      <c r="C180" s="21" t="s">
        <v>11</v>
      </c>
      <c r="D180" s="15">
        <v>27253.07</v>
      </c>
      <c r="E180" s="15">
        <f t="shared" si="3"/>
        <v>-1057.4000000000015</v>
      </c>
      <c r="F180" s="24">
        <v>-3.7350139365400901E-2</v>
      </c>
      <c r="G180" s="21">
        <v>7</v>
      </c>
      <c r="H180" s="25" t="s">
        <v>90</v>
      </c>
      <c r="I180" s="26">
        <v>45939</v>
      </c>
      <c r="J180" s="21" t="s">
        <v>25</v>
      </c>
      <c r="K180" s="18">
        <v>9444331803</v>
      </c>
      <c r="L180" s="12">
        <v>179797629.14735201</v>
      </c>
      <c r="M180" s="19">
        <v>0.33333333333333298</v>
      </c>
    </row>
    <row r="181" spans="1:13" x14ac:dyDescent="0.25">
      <c r="A181">
        <v>179</v>
      </c>
      <c r="B181" t="s">
        <v>10</v>
      </c>
      <c r="C181" s="21" t="s">
        <v>11</v>
      </c>
      <c r="D181" s="21">
        <v>27212.91</v>
      </c>
      <c r="E181" s="21">
        <f t="shared" si="3"/>
        <v>-1097.5600000000013</v>
      </c>
      <c r="F181" s="24">
        <v>-3.8768695821722501E-2</v>
      </c>
      <c r="G181" s="21">
        <v>6</v>
      </c>
      <c r="H181" s="25" t="s">
        <v>91</v>
      </c>
      <c r="I181" s="26">
        <v>45981</v>
      </c>
      <c r="J181" s="21" t="s">
        <v>21</v>
      </c>
      <c r="K181" s="18">
        <v>8497528679</v>
      </c>
      <c r="L181" s="18">
        <v>134835325.871941</v>
      </c>
      <c r="M181" s="19">
        <v>0.20833333333333301</v>
      </c>
    </row>
    <row r="182" spans="1:13" x14ac:dyDescent="0.25">
      <c r="A182">
        <v>180</v>
      </c>
      <c r="B182" t="s">
        <v>10</v>
      </c>
      <c r="C182" s="21" t="s">
        <v>11</v>
      </c>
      <c r="D182" s="21">
        <v>27211.95</v>
      </c>
      <c r="E182" s="21">
        <f t="shared" si="3"/>
        <v>-1098.5200000000004</v>
      </c>
      <c r="F182" s="24">
        <v>-3.8802605537809801E-2</v>
      </c>
      <c r="G182" s="21">
        <v>6</v>
      </c>
      <c r="H182" s="25" t="s">
        <v>91</v>
      </c>
      <c r="I182" s="26">
        <v>45937</v>
      </c>
      <c r="J182" s="21" t="s">
        <v>18</v>
      </c>
      <c r="K182" s="18">
        <v>9348656371</v>
      </c>
      <c r="L182" s="18">
        <v>134835325.871941</v>
      </c>
      <c r="M182" s="19">
        <v>0.20833333333333301</v>
      </c>
    </row>
    <row r="183" spans="1:13" x14ac:dyDescent="0.25">
      <c r="A183">
        <v>181</v>
      </c>
      <c r="B183" t="s">
        <v>10</v>
      </c>
      <c r="C183" s="21" t="s">
        <v>11</v>
      </c>
      <c r="D183" s="21">
        <v>27183.03</v>
      </c>
      <c r="E183" s="21">
        <f t="shared" si="3"/>
        <v>-1127.4400000000023</v>
      </c>
      <c r="F183" s="24">
        <v>-3.9824135734941903E-2</v>
      </c>
      <c r="G183" s="21">
        <v>6</v>
      </c>
      <c r="H183" s="25" t="s">
        <v>91</v>
      </c>
      <c r="I183" s="26">
        <v>45981</v>
      </c>
      <c r="J183" s="21" t="s">
        <v>25</v>
      </c>
      <c r="K183" s="18">
        <v>8497528679</v>
      </c>
      <c r="L183" s="18">
        <v>134835325.871941</v>
      </c>
      <c r="M183" s="19">
        <v>0.20833333333333301</v>
      </c>
    </row>
    <row r="184" spans="1:13" x14ac:dyDescent="0.25">
      <c r="A184">
        <v>182</v>
      </c>
      <c r="B184" t="s">
        <v>10</v>
      </c>
      <c r="C184" s="21" t="s">
        <v>11</v>
      </c>
      <c r="D184" s="21">
        <v>27118.02</v>
      </c>
      <c r="E184" s="21">
        <f t="shared" si="3"/>
        <v>-1192.4500000000007</v>
      </c>
      <c r="F184" s="24">
        <v>-4.21204593212334E-2</v>
      </c>
      <c r="G184" s="21">
        <v>6</v>
      </c>
      <c r="H184" s="25" t="s">
        <v>92</v>
      </c>
      <c r="I184" s="26">
        <v>45986</v>
      </c>
      <c r="J184" s="21" t="s">
        <v>12</v>
      </c>
      <c r="K184" s="18">
        <v>6714625759</v>
      </c>
      <c r="L184" s="18">
        <v>128181238.703895</v>
      </c>
      <c r="M184" s="19">
        <v>0.16666666666666599</v>
      </c>
    </row>
    <row r="185" spans="1:13" x14ac:dyDescent="0.25">
      <c r="A185">
        <v>183</v>
      </c>
      <c r="B185" t="s">
        <v>10</v>
      </c>
      <c r="C185" s="21" t="s">
        <v>11</v>
      </c>
      <c r="D185" s="21">
        <v>27110.43</v>
      </c>
      <c r="E185" s="21">
        <f t="shared" si="3"/>
        <v>-1200.0400000000009</v>
      </c>
      <c r="F185" s="24">
        <v>-4.2388558014049199E-2</v>
      </c>
      <c r="G185" s="21">
        <v>7</v>
      </c>
      <c r="H185" s="25" t="s">
        <v>93</v>
      </c>
      <c r="I185" s="26">
        <v>45938</v>
      </c>
      <c r="J185" s="21" t="s">
        <v>12</v>
      </c>
      <c r="K185" s="18">
        <v>8261189883</v>
      </c>
      <c r="L185" s="18">
        <v>164664147.56716999</v>
      </c>
      <c r="M185" s="19">
        <v>0.29375000000000001</v>
      </c>
    </row>
    <row r="186" spans="1:13" x14ac:dyDescent="0.25">
      <c r="A186">
        <v>184</v>
      </c>
      <c r="B186" t="s">
        <v>10</v>
      </c>
      <c r="C186" s="21" t="s">
        <v>11</v>
      </c>
      <c r="D186" s="21">
        <v>27063.68</v>
      </c>
      <c r="E186" s="21">
        <f t="shared" si="3"/>
        <v>-1246.7900000000009</v>
      </c>
      <c r="F186" s="24">
        <v>-4.4039890542262303E-2</v>
      </c>
      <c r="G186" s="21">
        <v>7</v>
      </c>
      <c r="H186" s="25" t="s">
        <v>93</v>
      </c>
      <c r="I186" s="26">
        <v>45938</v>
      </c>
      <c r="J186" s="21" t="s">
        <v>18</v>
      </c>
      <c r="K186" s="18">
        <v>8261189883</v>
      </c>
      <c r="L186" s="18">
        <v>164664147.56716999</v>
      </c>
      <c r="M186" s="19">
        <v>0.29375000000000001</v>
      </c>
    </row>
    <row r="187" spans="1:13" x14ac:dyDescent="0.25">
      <c r="A187">
        <v>185</v>
      </c>
      <c r="B187" t="s">
        <v>10</v>
      </c>
      <c r="C187" s="21" t="s">
        <v>11</v>
      </c>
      <c r="D187" s="21">
        <v>27063.17</v>
      </c>
      <c r="E187" s="21">
        <f t="shared" si="3"/>
        <v>-1247.3000000000029</v>
      </c>
      <c r="F187" s="24">
        <v>-4.4057905078933798E-2</v>
      </c>
      <c r="G187" s="21">
        <v>7</v>
      </c>
      <c r="H187" s="25" t="s">
        <v>93</v>
      </c>
      <c r="I187" s="26">
        <v>45987</v>
      </c>
      <c r="J187" s="21" t="s">
        <v>25</v>
      </c>
      <c r="K187" s="18">
        <v>7902773415</v>
      </c>
      <c r="L187" s="18">
        <v>164664147.56716999</v>
      </c>
      <c r="M187" s="19">
        <v>0.29375000000000001</v>
      </c>
    </row>
    <row r="188" spans="1:13" x14ac:dyDescent="0.25">
      <c r="A188">
        <v>186</v>
      </c>
      <c r="B188" t="s">
        <v>10</v>
      </c>
      <c r="C188" s="21" t="s">
        <v>11</v>
      </c>
      <c r="D188" s="21">
        <v>27063.17</v>
      </c>
      <c r="E188" s="21">
        <f t="shared" si="3"/>
        <v>-1247.3000000000029</v>
      </c>
      <c r="F188" s="24">
        <v>-4.4057905078933798E-2</v>
      </c>
      <c r="G188" s="21">
        <v>7</v>
      </c>
      <c r="H188" s="25" t="s">
        <v>93</v>
      </c>
      <c r="I188" s="26">
        <v>45987</v>
      </c>
      <c r="J188" s="21" t="s">
        <v>21</v>
      </c>
      <c r="K188" s="18">
        <v>7902773415</v>
      </c>
      <c r="L188" s="18">
        <v>164664147.56716999</v>
      </c>
      <c r="M188" s="19">
        <v>0.29375000000000001</v>
      </c>
    </row>
    <row r="189" spans="1:13" x14ac:dyDescent="0.25">
      <c r="A189">
        <v>187</v>
      </c>
      <c r="B189" t="s">
        <v>10</v>
      </c>
      <c r="C189" s="21" t="s">
        <v>11</v>
      </c>
      <c r="D189" s="21">
        <v>27029.279999999999</v>
      </c>
      <c r="E189" s="21">
        <f t="shared" si="3"/>
        <v>-1281.1900000000023</v>
      </c>
      <c r="F189" s="24">
        <v>-4.5254988702059698E-2</v>
      </c>
      <c r="G189" s="21">
        <v>6</v>
      </c>
      <c r="H189" s="25" t="s">
        <v>94</v>
      </c>
      <c r="I189" s="26">
        <v>45937</v>
      </c>
      <c r="J189" s="21" t="s">
        <v>21</v>
      </c>
      <c r="K189" s="18">
        <v>9348656371</v>
      </c>
      <c r="L189" s="18">
        <v>141848160.573493</v>
      </c>
      <c r="M189" s="19">
        <v>0.24791666666666601</v>
      </c>
    </row>
    <row r="190" spans="1:13" x14ac:dyDescent="0.25">
      <c r="A190">
        <v>188</v>
      </c>
      <c r="B190" t="s">
        <v>10</v>
      </c>
      <c r="C190" s="21" t="s">
        <v>11</v>
      </c>
      <c r="D190" s="21">
        <v>27017.08</v>
      </c>
      <c r="E190" s="21">
        <f t="shared" si="3"/>
        <v>-1293.3899999999994</v>
      </c>
      <c r="F190" s="24">
        <v>-4.5685924677336599E-2</v>
      </c>
      <c r="G190" s="21">
        <v>6</v>
      </c>
      <c r="H190" s="25" t="s">
        <v>94</v>
      </c>
      <c r="I190" s="26">
        <v>45937</v>
      </c>
      <c r="J190" s="21" t="s">
        <v>25</v>
      </c>
      <c r="K190" s="18">
        <v>9348656371</v>
      </c>
      <c r="L190" s="18">
        <v>141848160.573493</v>
      </c>
      <c r="M190" s="19">
        <v>0.24791666666666601</v>
      </c>
    </row>
    <row r="191" spans="1:13" x14ac:dyDescent="0.25">
      <c r="A191">
        <v>189</v>
      </c>
      <c r="B191" t="s">
        <v>10</v>
      </c>
      <c r="C191" s="21" t="s">
        <v>11</v>
      </c>
      <c r="D191" s="21">
        <v>26999.82</v>
      </c>
      <c r="E191" s="21">
        <f t="shared" si="3"/>
        <v>-1310.6500000000015</v>
      </c>
      <c r="F191" s="24">
        <v>-4.6295593114490899E-2</v>
      </c>
      <c r="G191" s="21">
        <v>5</v>
      </c>
      <c r="H191" s="25" t="s">
        <v>95</v>
      </c>
      <c r="I191" s="26">
        <v>45938</v>
      </c>
      <c r="J191" s="21" t="s">
        <v>21</v>
      </c>
      <c r="K191" s="18">
        <v>8261189883</v>
      </c>
      <c r="L191" s="18">
        <v>108969717.966051</v>
      </c>
      <c r="M191" s="19">
        <v>0.12291666666666599</v>
      </c>
    </row>
    <row r="192" spans="1:13" x14ac:dyDescent="0.25">
      <c r="A192">
        <v>190</v>
      </c>
      <c r="B192" t="s">
        <v>10</v>
      </c>
      <c r="C192" s="21" t="s">
        <v>11</v>
      </c>
      <c r="D192" s="21">
        <v>26995.9</v>
      </c>
      <c r="E192" s="21">
        <f t="shared" si="3"/>
        <v>-1314.5699999999997</v>
      </c>
      <c r="F192" s="24">
        <v>-4.6434057788514199E-2</v>
      </c>
      <c r="G192" s="21">
        <v>5</v>
      </c>
      <c r="H192" s="25" t="s">
        <v>95</v>
      </c>
      <c r="I192" s="26">
        <v>45986</v>
      </c>
      <c r="J192" s="21" t="s">
        <v>21</v>
      </c>
      <c r="K192" s="18">
        <v>6714625759</v>
      </c>
      <c r="L192" s="18">
        <v>108969717.966051</v>
      </c>
      <c r="M192" s="19">
        <v>0.12291666666666599</v>
      </c>
    </row>
    <row r="193" spans="1:13" x14ac:dyDescent="0.25">
      <c r="A193">
        <v>191</v>
      </c>
      <c r="B193" t="s">
        <v>10</v>
      </c>
      <c r="C193" s="21" t="s">
        <v>11</v>
      </c>
      <c r="D193" s="21">
        <v>26965.72</v>
      </c>
      <c r="E193" s="21">
        <f t="shared" si="3"/>
        <v>-1344.75</v>
      </c>
      <c r="F193" s="24">
        <v>-4.7500094488010902E-2</v>
      </c>
      <c r="G193" s="21">
        <v>6</v>
      </c>
      <c r="H193" s="25" t="s">
        <v>96</v>
      </c>
      <c r="I193" s="26">
        <v>45943</v>
      </c>
      <c r="J193" s="21" t="s">
        <v>12</v>
      </c>
      <c r="K193" s="18">
        <v>10191083804</v>
      </c>
      <c r="L193" s="18">
        <v>129546126.874143</v>
      </c>
      <c r="M193" s="19">
        <v>0.17708333333333301</v>
      </c>
    </row>
    <row r="194" spans="1:13" x14ac:dyDescent="0.25">
      <c r="A194">
        <v>192</v>
      </c>
      <c r="B194" t="s">
        <v>10</v>
      </c>
      <c r="C194" s="21" t="s">
        <v>11</v>
      </c>
      <c r="D194" s="21">
        <v>26923.42</v>
      </c>
      <c r="E194" s="21">
        <f t="shared" si="3"/>
        <v>-1387.0500000000029</v>
      </c>
      <c r="F194" s="24">
        <v>-4.8994241353110798E-2</v>
      </c>
      <c r="G194" s="21">
        <v>6</v>
      </c>
      <c r="H194" s="25" t="s">
        <v>96</v>
      </c>
      <c r="I194" s="26">
        <v>45943</v>
      </c>
      <c r="J194" s="21" t="s">
        <v>18</v>
      </c>
      <c r="K194" s="18">
        <v>10191083804</v>
      </c>
      <c r="L194" s="18">
        <v>129546126.874143</v>
      </c>
      <c r="M194" s="19">
        <v>0.17708333333333301</v>
      </c>
    </row>
    <row r="195" spans="1:13" x14ac:dyDescent="0.25">
      <c r="A195">
        <v>193</v>
      </c>
      <c r="B195" t="s">
        <v>10</v>
      </c>
      <c r="C195" s="21" t="s">
        <v>11</v>
      </c>
      <c r="D195" s="21">
        <v>26912.17</v>
      </c>
      <c r="E195" s="21">
        <f t="shared" si="3"/>
        <v>-1398.3000000000029</v>
      </c>
      <c r="F195" s="24">
        <v>-4.9391620838509599E-2</v>
      </c>
      <c r="G195" s="21">
        <v>6</v>
      </c>
      <c r="H195" s="25" t="s">
        <v>96</v>
      </c>
      <c r="I195" s="26">
        <v>45986</v>
      </c>
      <c r="J195" s="21" t="s">
        <v>18</v>
      </c>
      <c r="K195" s="18">
        <v>6714625759</v>
      </c>
      <c r="L195" s="18">
        <v>129546126.874143</v>
      </c>
      <c r="M195" s="19">
        <v>0.17708333333333301</v>
      </c>
    </row>
    <row r="196" spans="1:13" x14ac:dyDescent="0.25">
      <c r="A196">
        <v>194</v>
      </c>
      <c r="B196" t="s">
        <v>10</v>
      </c>
      <c r="C196" s="21" t="s">
        <v>11</v>
      </c>
      <c r="D196" s="21">
        <v>26911.05</v>
      </c>
      <c r="E196" s="21">
        <f t="shared" si="3"/>
        <v>-1399.4200000000019</v>
      </c>
      <c r="F196" s="24">
        <v>-4.9431182173944897E-2</v>
      </c>
      <c r="G196" s="21">
        <v>6</v>
      </c>
      <c r="H196" s="25" t="s">
        <v>96</v>
      </c>
      <c r="I196" s="26">
        <v>45945</v>
      </c>
      <c r="J196" s="21" t="s">
        <v>21</v>
      </c>
      <c r="K196" s="18">
        <v>8387861014</v>
      </c>
      <c r="L196" s="18">
        <v>129546126.874143</v>
      </c>
      <c r="M196" s="19">
        <v>0.17708333333333301</v>
      </c>
    </row>
    <row r="197" spans="1:13" x14ac:dyDescent="0.25">
      <c r="A197">
        <v>195</v>
      </c>
      <c r="B197" t="s">
        <v>10</v>
      </c>
      <c r="C197" s="21" t="s">
        <v>11</v>
      </c>
      <c r="D197" s="21">
        <v>26902.97</v>
      </c>
      <c r="E197" s="21">
        <f t="shared" si="3"/>
        <v>-1407.5</v>
      </c>
      <c r="F197" s="24">
        <v>-4.9716588951013503E-2</v>
      </c>
      <c r="G197" s="21">
        <v>7</v>
      </c>
      <c r="H197" s="25" t="s">
        <v>97</v>
      </c>
      <c r="I197" s="26">
        <v>45980</v>
      </c>
      <c r="J197" s="21" t="s">
        <v>12</v>
      </c>
      <c r="K197" s="18">
        <v>8069342681</v>
      </c>
      <c r="L197" s="18">
        <v>154540219.11821899</v>
      </c>
      <c r="M197" s="19">
        <v>0.27291666666666597</v>
      </c>
    </row>
    <row r="198" spans="1:13" x14ac:dyDescent="0.25">
      <c r="A198">
        <v>196</v>
      </c>
      <c r="B198" t="s">
        <v>10</v>
      </c>
      <c r="C198" s="21" t="s">
        <v>11</v>
      </c>
      <c r="D198" s="21">
        <v>26883.99</v>
      </c>
      <c r="E198" s="21">
        <f t="shared" ref="E198:E241" si="4">D198-D$17</f>
        <v>-1426.4799999999996</v>
      </c>
      <c r="F198" s="24">
        <v>-5.0387012296157503E-2</v>
      </c>
      <c r="G198" s="21">
        <v>7</v>
      </c>
      <c r="H198" s="25" t="s">
        <v>97</v>
      </c>
      <c r="I198" s="26">
        <v>45938</v>
      </c>
      <c r="J198" s="21" t="s">
        <v>25</v>
      </c>
      <c r="K198" s="18">
        <v>8261189883</v>
      </c>
      <c r="L198" s="18">
        <v>154540219.11821899</v>
      </c>
      <c r="M198" s="19">
        <v>0.27291666666666597</v>
      </c>
    </row>
    <row r="199" spans="1:13" x14ac:dyDescent="0.25">
      <c r="A199">
        <v>197</v>
      </c>
      <c r="B199" t="s">
        <v>10</v>
      </c>
      <c r="C199" s="21" t="s">
        <v>11</v>
      </c>
      <c r="D199" s="21">
        <v>26821.97</v>
      </c>
      <c r="E199" s="21">
        <f t="shared" si="4"/>
        <v>-1488.5</v>
      </c>
      <c r="F199" s="24">
        <v>-5.2577721245885299E-2</v>
      </c>
      <c r="G199" s="21">
        <v>7</v>
      </c>
      <c r="H199" s="25" t="s">
        <v>98</v>
      </c>
      <c r="I199" s="26">
        <v>45982</v>
      </c>
      <c r="J199" s="21" t="s">
        <v>12</v>
      </c>
      <c r="K199" s="18">
        <v>8853582470</v>
      </c>
      <c r="L199" s="18">
        <v>138840855.572909</v>
      </c>
      <c r="M199" s="19">
        <v>0.22083333333333299</v>
      </c>
    </row>
    <row r="200" spans="1:13" x14ac:dyDescent="0.25">
      <c r="A200">
        <v>198</v>
      </c>
      <c r="B200" t="s">
        <v>10</v>
      </c>
      <c r="C200" s="21" t="s">
        <v>11</v>
      </c>
      <c r="D200" s="21">
        <v>26821.97</v>
      </c>
      <c r="E200" s="21">
        <f t="shared" si="4"/>
        <v>-1488.5</v>
      </c>
      <c r="F200" s="24">
        <v>-5.2577721245885299E-2</v>
      </c>
      <c r="G200" s="21">
        <v>7</v>
      </c>
      <c r="H200" s="25" t="s">
        <v>98</v>
      </c>
      <c r="I200" s="26">
        <v>45982</v>
      </c>
      <c r="J200" s="21" t="s">
        <v>21</v>
      </c>
      <c r="K200" s="18">
        <v>8853582470</v>
      </c>
      <c r="L200" s="18">
        <v>138840855.572909</v>
      </c>
      <c r="M200" s="19">
        <v>0.22083333333333299</v>
      </c>
    </row>
    <row r="201" spans="1:13" x14ac:dyDescent="0.25">
      <c r="A201">
        <v>199</v>
      </c>
      <c r="B201" t="s">
        <v>10</v>
      </c>
      <c r="C201" s="21" t="s">
        <v>11</v>
      </c>
      <c r="D201" s="21">
        <v>26793.71</v>
      </c>
      <c r="E201" s="21">
        <f t="shared" si="4"/>
        <v>-1516.760000000002</v>
      </c>
      <c r="F201" s="24">
        <v>-5.35759385132073E-2</v>
      </c>
      <c r="G201" s="21">
        <v>7</v>
      </c>
      <c r="H201" s="25" t="s">
        <v>98</v>
      </c>
      <c r="I201" s="26">
        <v>45986</v>
      </c>
      <c r="J201" s="21" t="s">
        <v>25</v>
      </c>
      <c r="K201" s="18">
        <v>6714625759</v>
      </c>
      <c r="L201" s="18">
        <v>138840855.572909</v>
      </c>
      <c r="M201" s="19">
        <v>0.22083333333333299</v>
      </c>
    </row>
    <row r="202" spans="1:13" x14ac:dyDescent="0.25">
      <c r="A202">
        <v>200</v>
      </c>
      <c r="B202" t="s">
        <v>10</v>
      </c>
      <c r="C202" s="21" t="s">
        <v>11</v>
      </c>
      <c r="D202" s="21">
        <v>26793.15</v>
      </c>
      <c r="E202" s="21">
        <f t="shared" si="4"/>
        <v>-1517.3199999999997</v>
      </c>
      <c r="F202" s="24">
        <v>-5.35957191809249E-2</v>
      </c>
      <c r="G202" s="21">
        <v>6</v>
      </c>
      <c r="H202" s="25" t="s">
        <v>99</v>
      </c>
      <c r="I202" s="26">
        <v>45944</v>
      </c>
      <c r="J202" s="21" t="s">
        <v>18</v>
      </c>
      <c r="K202" s="18">
        <v>12066540173</v>
      </c>
      <c r="L202" s="18">
        <v>118136511.707472</v>
      </c>
      <c r="M202" s="19">
        <v>0.14374999999999999</v>
      </c>
    </row>
    <row r="203" spans="1:13" x14ac:dyDescent="0.25">
      <c r="A203">
        <v>201</v>
      </c>
      <c r="B203" t="s">
        <v>10</v>
      </c>
      <c r="C203" s="21" t="s">
        <v>11</v>
      </c>
      <c r="D203" s="21">
        <v>26773.15</v>
      </c>
      <c r="E203" s="21">
        <f t="shared" si="4"/>
        <v>-1537.3199999999997</v>
      </c>
      <c r="F203" s="24">
        <v>-5.4302171599411697E-2</v>
      </c>
      <c r="G203" s="21">
        <v>6</v>
      </c>
      <c r="H203" s="25" t="s">
        <v>99</v>
      </c>
      <c r="I203" s="26">
        <v>45945</v>
      </c>
      <c r="J203" s="21" t="s">
        <v>25</v>
      </c>
      <c r="K203" s="18">
        <v>8387861014</v>
      </c>
      <c r="L203" s="18">
        <v>118136511.707472</v>
      </c>
      <c r="M203" s="19">
        <v>0.14374999999999999</v>
      </c>
    </row>
    <row r="204" spans="1:13" x14ac:dyDescent="0.25">
      <c r="A204">
        <v>202</v>
      </c>
      <c r="B204" t="s">
        <v>10</v>
      </c>
      <c r="C204" s="21" t="s">
        <v>11</v>
      </c>
      <c r="D204" s="21">
        <v>26764.13</v>
      </c>
      <c r="E204" s="21">
        <f t="shared" si="4"/>
        <v>-1546.3400000000001</v>
      </c>
      <c r="F204" s="24">
        <v>-5.4620781640149302E-2</v>
      </c>
      <c r="G204" s="21">
        <v>6</v>
      </c>
      <c r="H204" s="25" t="s">
        <v>100</v>
      </c>
      <c r="I204" s="26">
        <v>45985</v>
      </c>
      <c r="J204" s="21" t="s">
        <v>12</v>
      </c>
      <c r="K204" s="18">
        <v>9236525911</v>
      </c>
      <c r="L204" s="18">
        <v>134223127.85018799</v>
      </c>
      <c r="M204" s="19">
        <v>0.19791666666666599</v>
      </c>
    </row>
    <row r="205" spans="1:13" x14ac:dyDescent="0.25">
      <c r="A205">
        <v>203</v>
      </c>
      <c r="B205" t="s">
        <v>10</v>
      </c>
      <c r="C205" s="21" t="s">
        <v>11</v>
      </c>
      <c r="D205" s="21">
        <v>26764.06</v>
      </c>
      <c r="E205" s="21">
        <f t="shared" si="4"/>
        <v>-1546.4099999999999</v>
      </c>
      <c r="F205" s="24">
        <v>-5.4623254223613998E-2</v>
      </c>
      <c r="G205" s="21">
        <v>6</v>
      </c>
      <c r="H205" s="25" t="s">
        <v>100</v>
      </c>
      <c r="I205" s="26">
        <v>45944</v>
      </c>
      <c r="J205" s="21" t="s">
        <v>25</v>
      </c>
      <c r="K205" s="18">
        <v>12066540173</v>
      </c>
      <c r="L205" s="18">
        <v>134223127.85018799</v>
      </c>
      <c r="M205" s="19">
        <v>0.19791666666666599</v>
      </c>
    </row>
    <row r="206" spans="1:13" x14ac:dyDescent="0.25">
      <c r="A206">
        <v>204</v>
      </c>
      <c r="B206" t="s">
        <v>10</v>
      </c>
      <c r="C206" s="21" t="s">
        <v>11</v>
      </c>
      <c r="D206" s="21">
        <v>26762.6</v>
      </c>
      <c r="E206" s="21">
        <f t="shared" si="4"/>
        <v>-1547.8700000000026</v>
      </c>
      <c r="F206" s="24">
        <v>-5.4674825250163699E-2</v>
      </c>
      <c r="G206" s="21">
        <v>5</v>
      </c>
      <c r="H206" s="25" t="s">
        <v>101</v>
      </c>
      <c r="I206" s="26">
        <v>45943</v>
      </c>
      <c r="J206" s="21" t="s">
        <v>21</v>
      </c>
      <c r="K206" s="18">
        <v>10191083804</v>
      </c>
      <c r="L206" s="18">
        <v>117985016.999697</v>
      </c>
      <c r="M206" s="19">
        <v>0.13750000000000001</v>
      </c>
    </row>
    <row r="207" spans="1:13" x14ac:dyDescent="0.25">
      <c r="A207">
        <v>205</v>
      </c>
      <c r="B207" t="s">
        <v>10</v>
      </c>
      <c r="C207" s="21" t="s">
        <v>11</v>
      </c>
      <c r="D207" s="21">
        <v>26761.06</v>
      </c>
      <c r="E207" s="21">
        <f t="shared" si="4"/>
        <v>-1549.4099999999999</v>
      </c>
      <c r="F207" s="24">
        <v>-5.47292220863871E-2</v>
      </c>
      <c r="G207" s="21">
        <v>6</v>
      </c>
      <c r="H207" s="25" t="s">
        <v>102</v>
      </c>
      <c r="I207" s="26">
        <v>45933</v>
      </c>
      <c r="J207" s="21" t="s">
        <v>18</v>
      </c>
      <c r="K207" s="18">
        <v>7784825692</v>
      </c>
      <c r="L207" s="18">
        <v>140162112.096982</v>
      </c>
      <c r="M207" s="19">
        <v>0.235416666666666</v>
      </c>
    </row>
    <row r="208" spans="1:13" x14ac:dyDescent="0.25">
      <c r="A208">
        <v>206</v>
      </c>
      <c r="B208" t="s">
        <v>10</v>
      </c>
      <c r="C208" s="21" t="s">
        <v>11</v>
      </c>
      <c r="D208" s="21">
        <v>26761.06</v>
      </c>
      <c r="E208" s="21">
        <f t="shared" si="4"/>
        <v>-1549.4099999999999</v>
      </c>
      <c r="F208" s="24">
        <v>-5.47292220863871E-2</v>
      </c>
      <c r="G208" s="21">
        <v>6</v>
      </c>
      <c r="H208" s="25" t="s">
        <v>102</v>
      </c>
      <c r="I208" s="26">
        <v>45933</v>
      </c>
      <c r="J208" s="21" t="s">
        <v>12</v>
      </c>
      <c r="K208" s="18">
        <v>7784825692</v>
      </c>
      <c r="L208" s="18">
        <v>140162112.096982</v>
      </c>
      <c r="M208" s="19">
        <v>0.235416666666666</v>
      </c>
    </row>
    <row r="209" spans="1:13" x14ac:dyDescent="0.25">
      <c r="A209">
        <v>207</v>
      </c>
      <c r="B209" t="s">
        <v>10</v>
      </c>
      <c r="C209" s="21" t="s">
        <v>11</v>
      </c>
      <c r="D209" s="21">
        <v>26756.12</v>
      </c>
      <c r="E209" s="21">
        <f t="shared" si="4"/>
        <v>-1554.3500000000022</v>
      </c>
      <c r="F209" s="24">
        <v>-5.4903715833753398E-2</v>
      </c>
      <c r="G209" s="21">
        <v>6</v>
      </c>
      <c r="H209" s="25" t="s">
        <v>102</v>
      </c>
      <c r="I209" s="26">
        <v>45979</v>
      </c>
      <c r="J209" s="21" t="s">
        <v>18</v>
      </c>
      <c r="K209" s="18">
        <v>10450443082</v>
      </c>
      <c r="L209" s="18">
        <v>140162112.096982</v>
      </c>
      <c r="M209" s="19">
        <v>0.235416666666666</v>
      </c>
    </row>
    <row r="210" spans="1:13" x14ac:dyDescent="0.25">
      <c r="A210">
        <v>208</v>
      </c>
      <c r="B210" t="s">
        <v>10</v>
      </c>
      <c r="C210" s="21" t="s">
        <v>11</v>
      </c>
      <c r="D210" s="21">
        <v>26756.12</v>
      </c>
      <c r="E210" s="21">
        <f t="shared" si="4"/>
        <v>-1554.3500000000022</v>
      </c>
      <c r="F210" s="24">
        <v>-5.4903715833753398E-2</v>
      </c>
      <c r="G210" s="21">
        <v>6</v>
      </c>
      <c r="H210" s="25" t="s">
        <v>102</v>
      </c>
      <c r="I210" s="26">
        <v>45979</v>
      </c>
      <c r="J210" s="21" t="s">
        <v>25</v>
      </c>
      <c r="K210" s="18">
        <v>10450443082</v>
      </c>
      <c r="L210" s="18">
        <v>140162112.096982</v>
      </c>
      <c r="M210" s="19">
        <v>0.235416666666666</v>
      </c>
    </row>
    <row r="211" spans="1:13" x14ac:dyDescent="0.25">
      <c r="A211">
        <v>209</v>
      </c>
      <c r="B211" t="s">
        <v>10</v>
      </c>
      <c r="C211" s="21" t="s">
        <v>11</v>
      </c>
      <c r="D211" s="21">
        <v>26708.28</v>
      </c>
      <c r="E211" s="21">
        <f t="shared" si="4"/>
        <v>-1602.1900000000023</v>
      </c>
      <c r="F211" s="24">
        <v>-5.6593550018774003E-2</v>
      </c>
      <c r="G211" s="21">
        <v>5</v>
      </c>
      <c r="H211" s="25" t="s">
        <v>103</v>
      </c>
      <c r="I211" s="26">
        <v>45980</v>
      </c>
      <c r="J211" s="21" t="s">
        <v>21</v>
      </c>
      <c r="K211" s="18">
        <v>8069342681</v>
      </c>
      <c r="L211" s="18">
        <v>121308025.566708</v>
      </c>
      <c r="M211" s="19">
        <v>0.15625</v>
      </c>
    </row>
    <row r="212" spans="1:13" x14ac:dyDescent="0.25">
      <c r="A212">
        <v>210</v>
      </c>
      <c r="B212" t="s">
        <v>10</v>
      </c>
      <c r="C212" s="21" t="s">
        <v>11</v>
      </c>
      <c r="D212" s="21">
        <v>26596.03</v>
      </c>
      <c r="E212" s="21">
        <f t="shared" si="4"/>
        <v>-1714.4400000000023</v>
      </c>
      <c r="F212" s="24">
        <v>-6.0558514217531598E-2</v>
      </c>
      <c r="G212" s="21">
        <v>5</v>
      </c>
      <c r="H212" s="25" t="s">
        <v>103</v>
      </c>
      <c r="I212" s="26">
        <v>45985</v>
      </c>
      <c r="J212" s="21" t="s">
        <v>21</v>
      </c>
      <c r="K212" s="18">
        <v>9236525911</v>
      </c>
      <c r="L212" s="18">
        <v>121308025.566708</v>
      </c>
      <c r="M212" s="19">
        <v>0.15625</v>
      </c>
    </row>
    <row r="213" spans="1:13" x14ac:dyDescent="0.25">
      <c r="A213">
        <v>211</v>
      </c>
      <c r="B213" t="s">
        <v>10</v>
      </c>
      <c r="C213" s="21" t="s">
        <v>11</v>
      </c>
      <c r="D213" s="21">
        <v>26580.12</v>
      </c>
      <c r="E213" s="21">
        <f t="shared" si="4"/>
        <v>-1730.3500000000022</v>
      </c>
      <c r="F213" s="24">
        <v>-6.1120497116437897E-2</v>
      </c>
      <c r="G213" s="21">
        <v>5</v>
      </c>
      <c r="H213" s="25" t="s">
        <v>103</v>
      </c>
      <c r="I213" s="26">
        <v>45980</v>
      </c>
      <c r="J213" s="21" t="s">
        <v>18</v>
      </c>
      <c r="K213" s="18">
        <v>8069342681</v>
      </c>
      <c r="L213" s="18">
        <v>121308025.566708</v>
      </c>
      <c r="M213" s="19">
        <v>0.15625</v>
      </c>
    </row>
    <row r="214" spans="1:13" x14ac:dyDescent="0.25">
      <c r="A214">
        <v>212</v>
      </c>
      <c r="B214" t="s">
        <v>10</v>
      </c>
      <c r="C214" s="21" t="s">
        <v>11</v>
      </c>
      <c r="D214" s="21">
        <v>26580.12</v>
      </c>
      <c r="E214" s="21">
        <f t="shared" si="4"/>
        <v>-1730.3500000000022</v>
      </c>
      <c r="F214" s="24">
        <v>-6.1120497116437897E-2</v>
      </c>
      <c r="G214" s="21">
        <v>5</v>
      </c>
      <c r="H214" s="25" t="s">
        <v>103</v>
      </c>
      <c r="I214" s="26">
        <v>45980</v>
      </c>
      <c r="J214" s="21" t="s">
        <v>25</v>
      </c>
      <c r="K214" s="18">
        <v>8069342681</v>
      </c>
      <c r="L214" s="18">
        <v>121308025.566708</v>
      </c>
      <c r="M214" s="19">
        <v>0.15625</v>
      </c>
    </row>
    <row r="215" spans="1:13" x14ac:dyDescent="0.25">
      <c r="A215">
        <v>213</v>
      </c>
      <c r="B215" t="s">
        <v>10</v>
      </c>
      <c r="C215" s="21" t="s">
        <v>11</v>
      </c>
      <c r="D215" s="21">
        <v>26504.240000000002</v>
      </c>
      <c r="E215" s="21">
        <f t="shared" si="4"/>
        <v>-1806.2299999999996</v>
      </c>
      <c r="F215" s="24">
        <v>-6.3800777592177005E-2</v>
      </c>
      <c r="G215" s="21">
        <v>4</v>
      </c>
      <c r="H215" s="25" t="s">
        <v>104</v>
      </c>
      <c r="I215" s="26">
        <v>45985</v>
      </c>
      <c r="J215" s="21" t="s">
        <v>18</v>
      </c>
      <c r="K215" s="18">
        <v>9236525911</v>
      </c>
      <c r="L215" s="18">
        <v>96313933.3226327</v>
      </c>
      <c r="M215" s="19">
        <v>0.116666666666666</v>
      </c>
    </row>
    <row r="216" spans="1:13" x14ac:dyDescent="0.25">
      <c r="A216">
        <v>214</v>
      </c>
      <c r="B216" t="s">
        <v>10</v>
      </c>
      <c r="C216" s="21" t="s">
        <v>11</v>
      </c>
      <c r="D216" s="21">
        <v>26489.79</v>
      </c>
      <c r="E216" s="21">
        <f t="shared" si="4"/>
        <v>-1820.6800000000003</v>
      </c>
      <c r="F216" s="24">
        <v>-6.4311189464533805E-2</v>
      </c>
      <c r="G216" s="21">
        <v>5</v>
      </c>
      <c r="H216" s="25" t="s">
        <v>105</v>
      </c>
      <c r="I216" s="26">
        <v>45932</v>
      </c>
      <c r="J216" s="21" t="s">
        <v>12</v>
      </c>
      <c r="K216" s="18">
        <v>8085314896</v>
      </c>
      <c r="L216" s="18">
        <v>146992853.31761801</v>
      </c>
      <c r="M216" s="19">
        <v>0.264583333333333</v>
      </c>
    </row>
    <row r="217" spans="1:13" x14ac:dyDescent="0.25">
      <c r="A217">
        <v>215</v>
      </c>
      <c r="B217" t="s">
        <v>10</v>
      </c>
      <c r="C217" s="21" t="s">
        <v>11</v>
      </c>
      <c r="D217" s="21">
        <v>26482.33</v>
      </c>
      <c r="E217" s="21">
        <f t="shared" si="4"/>
        <v>-1828.1399999999994</v>
      </c>
      <c r="F217" s="24">
        <v>-6.4574696216629299E-2</v>
      </c>
      <c r="G217" s="21">
        <v>5</v>
      </c>
      <c r="H217" s="25" t="s">
        <v>105</v>
      </c>
      <c r="I217" s="26">
        <v>45985</v>
      </c>
      <c r="J217" s="21" t="s">
        <v>25</v>
      </c>
      <c r="K217" s="18">
        <v>9236525911</v>
      </c>
      <c r="L217" s="18">
        <v>146992853.31761801</v>
      </c>
      <c r="M217" s="19">
        <v>0.264583333333333</v>
      </c>
    </row>
    <row r="218" spans="1:13" x14ac:dyDescent="0.25">
      <c r="A218">
        <v>216</v>
      </c>
      <c r="B218" t="s">
        <v>10</v>
      </c>
      <c r="C218" s="21" t="s">
        <v>11</v>
      </c>
      <c r="D218" s="21">
        <v>26470.44</v>
      </c>
      <c r="E218" s="21">
        <f t="shared" si="4"/>
        <v>-1840.0300000000025</v>
      </c>
      <c r="F218" s="24">
        <v>-6.4994682179419894E-2</v>
      </c>
      <c r="G218" s="21">
        <v>4</v>
      </c>
      <c r="H218" s="25" t="s">
        <v>106</v>
      </c>
      <c r="I218" s="26">
        <v>45943</v>
      </c>
      <c r="J218" s="21" t="s">
        <v>25</v>
      </c>
      <c r="K218" s="18">
        <v>10191083804</v>
      </c>
      <c r="L218" s="18">
        <v>114215969.31832699</v>
      </c>
      <c r="M218" s="19">
        <v>0.133333333333333</v>
      </c>
    </row>
    <row r="219" spans="1:13" x14ac:dyDescent="0.25">
      <c r="A219">
        <v>217</v>
      </c>
      <c r="B219" t="s">
        <v>10</v>
      </c>
      <c r="C219" s="21" t="s">
        <v>11</v>
      </c>
      <c r="D219" s="21">
        <v>26435.1</v>
      </c>
      <c r="E219" s="21">
        <f t="shared" si="4"/>
        <v>-1875.3700000000026</v>
      </c>
      <c r="F219" s="24">
        <v>-6.6242983602886205E-2</v>
      </c>
      <c r="G219" s="21">
        <v>3</v>
      </c>
      <c r="H219" s="25" t="s">
        <v>107</v>
      </c>
      <c r="I219" s="26">
        <v>45933</v>
      </c>
      <c r="J219" s="21" t="s">
        <v>21</v>
      </c>
      <c r="K219" s="18">
        <v>7784825692</v>
      </c>
      <c r="L219" s="18">
        <v>93639560.410235405</v>
      </c>
      <c r="M219" s="19">
        <v>0.108333333333333</v>
      </c>
    </row>
    <row r="220" spans="1:13" x14ac:dyDescent="0.25">
      <c r="A220">
        <v>218</v>
      </c>
      <c r="B220" t="s">
        <v>10</v>
      </c>
      <c r="C220" s="21" t="s">
        <v>11</v>
      </c>
      <c r="D220" s="21">
        <v>26434.94</v>
      </c>
      <c r="E220" s="21">
        <f t="shared" si="4"/>
        <v>-1875.5300000000025</v>
      </c>
      <c r="F220" s="24">
        <v>-6.6248635222234106E-2</v>
      </c>
      <c r="G220" s="21">
        <v>3</v>
      </c>
      <c r="H220" s="25" t="s">
        <v>107</v>
      </c>
      <c r="I220" s="26">
        <v>45982</v>
      </c>
      <c r="J220" s="21" t="s">
        <v>18</v>
      </c>
      <c r="K220" s="18">
        <v>8853582470</v>
      </c>
      <c r="L220" s="18">
        <v>93639560.410235405</v>
      </c>
      <c r="M220" s="19">
        <v>0.108333333333333</v>
      </c>
    </row>
    <row r="221" spans="1:13" x14ac:dyDescent="0.25">
      <c r="A221">
        <v>219</v>
      </c>
      <c r="B221" t="s">
        <v>10</v>
      </c>
      <c r="C221" s="21" t="s">
        <v>11</v>
      </c>
      <c r="D221" s="21">
        <v>26410.03</v>
      </c>
      <c r="E221" s="21">
        <f t="shared" si="4"/>
        <v>-1900.4400000000023</v>
      </c>
      <c r="F221" s="24">
        <v>-6.7128521709459502E-2</v>
      </c>
      <c r="G221" s="21">
        <v>3</v>
      </c>
      <c r="H221" s="25" t="s">
        <v>107</v>
      </c>
      <c r="I221" s="26">
        <v>45933</v>
      </c>
      <c r="J221" s="21" t="s">
        <v>25</v>
      </c>
      <c r="K221" s="18">
        <v>7784825692</v>
      </c>
      <c r="L221" s="18">
        <v>93639560.410235405</v>
      </c>
      <c r="M221" s="19">
        <v>0.108333333333333</v>
      </c>
    </row>
    <row r="222" spans="1:13" x14ac:dyDescent="0.25">
      <c r="A222">
        <v>220</v>
      </c>
      <c r="B222" t="s">
        <v>10</v>
      </c>
      <c r="C222" s="21" t="s">
        <v>11</v>
      </c>
      <c r="D222" s="21">
        <v>26395.98</v>
      </c>
      <c r="E222" s="21">
        <f t="shared" si="4"/>
        <v>-1914.4900000000016</v>
      </c>
      <c r="F222" s="24">
        <v>-6.7624804533446506E-2</v>
      </c>
      <c r="G222" s="21">
        <v>2</v>
      </c>
      <c r="H222" s="25" t="s">
        <v>108</v>
      </c>
      <c r="I222" s="26">
        <v>45982</v>
      </c>
      <c r="J222" s="21" t="s">
        <v>25</v>
      </c>
      <c r="K222" s="18">
        <v>8853582470</v>
      </c>
      <c r="L222" s="18">
        <v>71462465.312950402</v>
      </c>
      <c r="M222" s="19">
        <v>9.5833333333333298E-2</v>
      </c>
    </row>
    <row r="223" spans="1:13" x14ac:dyDescent="0.25">
      <c r="A223">
        <v>221</v>
      </c>
      <c r="B223" t="s">
        <v>10</v>
      </c>
      <c r="C223" s="21" t="s">
        <v>11</v>
      </c>
      <c r="D223" s="21">
        <v>26392.31</v>
      </c>
      <c r="E223" s="21">
        <f t="shared" si="4"/>
        <v>-1918.1599999999999</v>
      </c>
      <c r="F223" s="24">
        <v>-6.7754438552238797E-2</v>
      </c>
      <c r="G223" s="21">
        <v>1</v>
      </c>
      <c r="H223" s="25">
        <v>20251002</v>
      </c>
      <c r="I223" s="26">
        <v>45932</v>
      </c>
      <c r="J223" s="21" t="s">
        <v>21</v>
      </c>
      <c r="K223" s="18">
        <v>8085314896</v>
      </c>
      <c r="L223" s="18">
        <v>50678919.994985297</v>
      </c>
      <c r="M223" s="19">
        <v>6.25E-2</v>
      </c>
    </row>
    <row r="224" spans="1:13" x14ac:dyDescent="0.25">
      <c r="A224">
        <v>222</v>
      </c>
      <c r="B224" t="s">
        <v>10</v>
      </c>
      <c r="C224" s="21" t="s">
        <v>11</v>
      </c>
      <c r="D224" s="21">
        <v>26378.39</v>
      </c>
      <c r="E224" s="21">
        <f t="shared" si="4"/>
        <v>-1932.0800000000017</v>
      </c>
      <c r="F224" s="24">
        <v>-6.8246129435505704E-2</v>
      </c>
      <c r="G224" s="21">
        <v>1</v>
      </c>
      <c r="H224" s="25">
        <v>20251002</v>
      </c>
      <c r="I224" s="26">
        <v>45932</v>
      </c>
      <c r="J224" s="21" t="s">
        <v>18</v>
      </c>
      <c r="K224" s="18">
        <v>8085314896</v>
      </c>
      <c r="L224" s="18">
        <v>50678919.994985297</v>
      </c>
      <c r="M224" s="19">
        <v>6.25E-2</v>
      </c>
    </row>
    <row r="225" spans="1:13" x14ac:dyDescent="0.25">
      <c r="A225">
        <v>223</v>
      </c>
      <c r="B225" t="s">
        <v>10</v>
      </c>
      <c r="C225" s="21" t="s">
        <v>11</v>
      </c>
      <c r="D225" s="21">
        <v>26330.25</v>
      </c>
      <c r="E225" s="21">
        <f t="shared" si="4"/>
        <v>-1980.2200000000012</v>
      </c>
      <c r="F225" s="24">
        <v>-6.9946560406803596E-2</v>
      </c>
      <c r="G225" s="21">
        <v>1</v>
      </c>
      <c r="H225" s="25">
        <v>20251002</v>
      </c>
      <c r="I225" s="26">
        <v>45932</v>
      </c>
      <c r="J225" s="21" t="s">
        <v>25</v>
      </c>
      <c r="K225" s="18">
        <v>8085314896</v>
      </c>
      <c r="L225" s="18">
        <v>50678919.994985297</v>
      </c>
      <c r="M225" s="19">
        <v>6.25E-2</v>
      </c>
    </row>
    <row r="226" spans="1:13" x14ac:dyDescent="0.25">
      <c r="A226">
        <v>224</v>
      </c>
      <c r="B226" t="s">
        <v>10</v>
      </c>
      <c r="C226" s="21" t="s">
        <v>11</v>
      </c>
      <c r="D226" s="21">
        <v>26325.79</v>
      </c>
      <c r="E226" s="21">
        <f t="shared" si="4"/>
        <v>-1984.6800000000003</v>
      </c>
      <c r="F226" s="24">
        <v>-7.0104099296126099E-2</v>
      </c>
      <c r="G226" s="21">
        <v>1</v>
      </c>
      <c r="H226" s="25">
        <v>20251001</v>
      </c>
      <c r="I226" s="26">
        <v>45931</v>
      </c>
      <c r="J226" s="21" t="s">
        <v>12</v>
      </c>
      <c r="K226" s="18">
        <v>7679791251</v>
      </c>
      <c r="L226" s="18">
        <v>22397897.955552898</v>
      </c>
      <c r="M226" s="19">
        <v>1.6666666666666601E-2</v>
      </c>
    </row>
    <row r="227" spans="1:13" x14ac:dyDescent="0.25">
      <c r="A227">
        <v>225</v>
      </c>
      <c r="B227" t="s">
        <v>10</v>
      </c>
      <c r="C227" s="21" t="s">
        <v>11</v>
      </c>
      <c r="D227" s="21">
        <v>26247.85</v>
      </c>
      <c r="E227" s="21">
        <f t="shared" si="4"/>
        <v>-2062.6200000000026</v>
      </c>
      <c r="F227" s="24">
        <v>-7.2857144370969504E-2</v>
      </c>
      <c r="G227" s="21">
        <v>2</v>
      </c>
      <c r="H227" s="25" t="s">
        <v>109</v>
      </c>
      <c r="I227" s="26">
        <v>45925</v>
      </c>
      <c r="J227" s="21" t="s">
        <v>12</v>
      </c>
      <c r="K227" s="18">
        <v>8846470892</v>
      </c>
      <c r="L227" s="18">
        <v>61891071.580552898</v>
      </c>
      <c r="M227" s="19">
        <v>8.3333333333333301E-2</v>
      </c>
    </row>
    <row r="228" spans="1:13" x14ac:dyDescent="0.25">
      <c r="A228">
        <v>226</v>
      </c>
      <c r="B228" t="s">
        <v>10</v>
      </c>
      <c r="C228" s="21" t="s">
        <v>11</v>
      </c>
      <c r="D228" s="21">
        <v>26078.29</v>
      </c>
      <c r="E228" s="21">
        <f t="shared" si="4"/>
        <v>-2232.1800000000003</v>
      </c>
      <c r="F228" s="24">
        <v>-7.8846447974901104E-2</v>
      </c>
      <c r="G228" s="21">
        <v>2</v>
      </c>
      <c r="H228" s="25" t="s">
        <v>109</v>
      </c>
      <c r="I228" s="26">
        <v>45931</v>
      </c>
      <c r="J228" s="21" t="s">
        <v>21</v>
      </c>
      <c r="K228" s="18">
        <v>7679791251</v>
      </c>
      <c r="L228" s="18">
        <v>61891071.580552898</v>
      </c>
      <c r="M228" s="19">
        <v>8.3333333333333301E-2</v>
      </c>
    </row>
    <row r="229" spans="1:13" x14ac:dyDescent="0.25">
      <c r="A229">
        <v>227</v>
      </c>
      <c r="B229" t="s">
        <v>10</v>
      </c>
      <c r="C229" s="21" t="s">
        <v>11</v>
      </c>
      <c r="D229" s="21">
        <v>26067.97</v>
      </c>
      <c r="E229" s="21">
        <f t="shared" si="4"/>
        <v>-2242.5</v>
      </c>
      <c r="F229" s="24">
        <v>-7.9210977422840306E-2</v>
      </c>
      <c r="G229" s="21">
        <v>2</v>
      </c>
      <c r="H229" s="25" t="s">
        <v>109</v>
      </c>
      <c r="I229" s="26">
        <v>45925</v>
      </c>
      <c r="J229" s="21" t="s">
        <v>21</v>
      </c>
      <c r="K229" s="18">
        <v>8846470892</v>
      </c>
      <c r="L229" s="18">
        <v>61891071.580552898</v>
      </c>
      <c r="M229" s="19">
        <v>8.3333333333333301E-2</v>
      </c>
    </row>
    <row r="230" spans="1:13" x14ac:dyDescent="0.25">
      <c r="A230">
        <v>228</v>
      </c>
      <c r="B230" t="s">
        <v>10</v>
      </c>
      <c r="C230" s="21" t="s">
        <v>11</v>
      </c>
      <c r="D230" s="21">
        <v>26023.85</v>
      </c>
      <c r="E230" s="21">
        <f t="shared" si="4"/>
        <v>-2286.6200000000026</v>
      </c>
      <c r="F230" s="24">
        <v>-8.0769411458022494E-2</v>
      </c>
      <c r="G230" s="21">
        <v>2</v>
      </c>
      <c r="H230" s="25" t="s">
        <v>109</v>
      </c>
      <c r="I230" s="26">
        <v>45925</v>
      </c>
      <c r="J230" s="21" t="s">
        <v>18</v>
      </c>
      <c r="K230" s="18">
        <v>8846470892</v>
      </c>
      <c r="L230" s="18">
        <v>61891071.580552898</v>
      </c>
      <c r="M230" s="19">
        <v>8.3333333333333301E-2</v>
      </c>
    </row>
    <row r="231" spans="1:13" x14ac:dyDescent="0.25">
      <c r="A231">
        <v>229</v>
      </c>
      <c r="B231" t="s">
        <v>10</v>
      </c>
      <c r="C231" s="21" t="s">
        <v>11</v>
      </c>
      <c r="D231" s="21">
        <v>26023.85</v>
      </c>
      <c r="E231" s="21">
        <f t="shared" si="4"/>
        <v>-2286.6200000000026</v>
      </c>
      <c r="F231" s="24">
        <v>-8.0769411458022494E-2</v>
      </c>
      <c r="G231" s="21">
        <v>2</v>
      </c>
      <c r="H231" s="25" t="s">
        <v>109</v>
      </c>
      <c r="I231" s="26">
        <v>45925</v>
      </c>
      <c r="J231" s="21" t="s">
        <v>25</v>
      </c>
      <c r="K231" s="18">
        <v>8846470892</v>
      </c>
      <c r="L231" s="18">
        <v>61891071.580552898</v>
      </c>
      <c r="M231" s="19">
        <v>8.3333333333333301E-2</v>
      </c>
    </row>
    <row r="232" spans="1:13" x14ac:dyDescent="0.25">
      <c r="A232">
        <v>230</v>
      </c>
      <c r="B232" t="s">
        <v>10</v>
      </c>
      <c r="C232" s="21" t="s">
        <v>11</v>
      </c>
      <c r="D232" s="21">
        <v>25998.28</v>
      </c>
      <c r="E232" s="21">
        <f t="shared" si="4"/>
        <v>-2312.1900000000023</v>
      </c>
      <c r="F232" s="24">
        <v>-8.1672610875057894E-2</v>
      </c>
      <c r="G232" s="21">
        <v>2</v>
      </c>
      <c r="H232" s="25" t="s">
        <v>110</v>
      </c>
      <c r="I232" s="26">
        <v>45926</v>
      </c>
      <c r="J232" s="21" t="s">
        <v>12</v>
      </c>
      <c r="K232" s="18">
        <v>8334201118</v>
      </c>
      <c r="L232" s="18">
        <v>38145387.030452803</v>
      </c>
      <c r="M232" s="19">
        <v>3.125E-2</v>
      </c>
    </row>
    <row r="233" spans="1:13" x14ac:dyDescent="0.25">
      <c r="A233">
        <v>231</v>
      </c>
      <c r="B233" t="s">
        <v>10</v>
      </c>
      <c r="C233" s="21" t="s">
        <v>11</v>
      </c>
      <c r="D233" s="21">
        <v>25998.28</v>
      </c>
      <c r="E233" s="21">
        <f t="shared" si="4"/>
        <v>-2312.1900000000023</v>
      </c>
      <c r="F233" s="24">
        <v>-8.1672610875057894E-2</v>
      </c>
      <c r="G233" s="21">
        <v>2</v>
      </c>
      <c r="H233" s="25" t="s">
        <v>110</v>
      </c>
      <c r="I233" s="26">
        <v>45926</v>
      </c>
      <c r="J233" s="21" t="s">
        <v>21</v>
      </c>
      <c r="K233" s="18">
        <v>8334201118</v>
      </c>
      <c r="L233" s="18">
        <v>38145387.030452803</v>
      </c>
      <c r="M233" s="19">
        <v>3.125E-2</v>
      </c>
    </row>
    <row r="234" spans="1:13" x14ac:dyDescent="0.25">
      <c r="A234">
        <v>232</v>
      </c>
      <c r="B234" t="s">
        <v>10</v>
      </c>
      <c r="C234" s="21" t="s">
        <v>11</v>
      </c>
      <c r="D234" s="21">
        <v>25982.91</v>
      </c>
      <c r="E234" s="21">
        <f t="shared" si="4"/>
        <v>-2327.5600000000013</v>
      </c>
      <c r="F234" s="24">
        <v>-8.2215519558665004E-2</v>
      </c>
      <c r="G234" s="21">
        <v>2</v>
      </c>
      <c r="H234" s="25" t="s">
        <v>110</v>
      </c>
      <c r="I234" s="26">
        <v>45931</v>
      </c>
      <c r="J234" s="21" t="s">
        <v>18</v>
      </c>
      <c r="K234" s="18">
        <v>7679791251</v>
      </c>
      <c r="L234" s="18">
        <v>38145387.030452803</v>
      </c>
      <c r="M234" s="19">
        <v>3.125E-2</v>
      </c>
    </row>
    <row r="235" spans="1:13" x14ac:dyDescent="0.25">
      <c r="A235">
        <v>233</v>
      </c>
      <c r="B235" t="s">
        <v>10</v>
      </c>
      <c r="C235" s="21" t="s">
        <v>11</v>
      </c>
      <c r="D235" s="21">
        <v>25982.91</v>
      </c>
      <c r="E235" s="21">
        <f t="shared" si="4"/>
        <v>-2327.5600000000013</v>
      </c>
      <c r="F235" s="24">
        <v>-8.2215519558665004E-2</v>
      </c>
      <c r="G235" s="21">
        <v>2</v>
      </c>
      <c r="H235" s="25" t="s">
        <v>110</v>
      </c>
      <c r="I235" s="26">
        <v>45931</v>
      </c>
      <c r="J235" s="21" t="s">
        <v>25</v>
      </c>
      <c r="K235" s="18">
        <v>7679791251</v>
      </c>
      <c r="L235" s="18">
        <v>38145387.030452803</v>
      </c>
      <c r="M235" s="19">
        <v>3.125E-2</v>
      </c>
    </row>
    <row r="236" spans="1:13" x14ac:dyDescent="0.25">
      <c r="A236">
        <v>234</v>
      </c>
      <c r="B236" t="s">
        <v>10</v>
      </c>
      <c r="C236" s="21" t="s">
        <v>11</v>
      </c>
      <c r="D236" s="21">
        <v>25975.84</v>
      </c>
      <c r="E236" s="21">
        <f t="shared" si="4"/>
        <v>-2334.630000000001</v>
      </c>
      <c r="F236" s="24">
        <v>-8.2465250488600095E-2</v>
      </c>
      <c r="G236" s="21">
        <v>2</v>
      </c>
      <c r="H236" s="25" t="s">
        <v>111</v>
      </c>
      <c r="I236" s="26">
        <v>45930</v>
      </c>
      <c r="J236" s="21" t="s">
        <v>12</v>
      </c>
      <c r="K236" s="18">
        <v>6699602406</v>
      </c>
      <c r="L236" s="18">
        <v>43952778.537283704</v>
      </c>
      <c r="M236" s="19">
        <v>4.7916666666666601E-2</v>
      </c>
    </row>
    <row r="237" spans="1:13" x14ac:dyDescent="0.25">
      <c r="A237">
        <v>235</v>
      </c>
      <c r="B237" t="s">
        <v>10</v>
      </c>
      <c r="C237" s="21" t="s">
        <v>11</v>
      </c>
      <c r="D237" s="21">
        <v>25820.54</v>
      </c>
      <c r="E237" s="21">
        <f t="shared" si="4"/>
        <v>-2489.9300000000003</v>
      </c>
      <c r="F237" s="24">
        <v>-8.7950853518150698E-2</v>
      </c>
      <c r="G237" s="21">
        <v>2</v>
      </c>
      <c r="H237" s="25" t="s">
        <v>111</v>
      </c>
      <c r="I237" s="26">
        <v>45930</v>
      </c>
      <c r="J237" s="21" t="s">
        <v>18</v>
      </c>
      <c r="K237" s="18">
        <v>6699602406</v>
      </c>
      <c r="L237" s="18">
        <v>43952778.537283704</v>
      </c>
      <c r="M237" s="19">
        <v>4.7916666666666601E-2</v>
      </c>
    </row>
    <row r="238" spans="1:13" x14ac:dyDescent="0.25">
      <c r="A238">
        <v>236</v>
      </c>
      <c r="B238" t="s">
        <v>10</v>
      </c>
      <c r="C238" s="21" t="s">
        <v>11</v>
      </c>
      <c r="D238" s="21">
        <v>25738.31</v>
      </c>
      <c r="E238" s="21">
        <f t="shared" si="4"/>
        <v>-2572.16</v>
      </c>
      <c r="F238" s="24">
        <v>-9.0855432636759395E-2</v>
      </c>
      <c r="G238" s="21">
        <v>2</v>
      </c>
      <c r="H238" s="25" t="s">
        <v>111</v>
      </c>
      <c r="I238" s="26">
        <v>45930</v>
      </c>
      <c r="J238" s="21" t="s">
        <v>25</v>
      </c>
      <c r="K238" s="18">
        <v>6699602406</v>
      </c>
      <c r="L238" s="18">
        <v>43952778.537283704</v>
      </c>
      <c r="M238" s="19">
        <v>4.7916666666666601E-2</v>
      </c>
    </row>
    <row r="239" spans="1:13" x14ac:dyDescent="0.25">
      <c r="A239">
        <v>237</v>
      </c>
      <c r="B239" t="s">
        <v>10</v>
      </c>
      <c r="C239" s="21" t="s">
        <v>11</v>
      </c>
      <c r="D239" s="21">
        <v>25738.31</v>
      </c>
      <c r="E239" s="21">
        <f t="shared" si="4"/>
        <v>-2572.16</v>
      </c>
      <c r="F239" s="24">
        <v>-9.0855432636759395E-2</v>
      </c>
      <c r="G239" s="21">
        <v>2</v>
      </c>
      <c r="H239" s="25" t="s">
        <v>111</v>
      </c>
      <c r="I239" s="26">
        <v>45930</v>
      </c>
      <c r="J239" s="21" t="s">
        <v>21</v>
      </c>
      <c r="K239" s="18">
        <v>6699602406</v>
      </c>
      <c r="L239" s="18">
        <v>43952778.537283704</v>
      </c>
      <c r="M239" s="19">
        <v>4.7916666666666601E-2</v>
      </c>
    </row>
    <row r="240" spans="1:13" x14ac:dyDescent="0.25">
      <c r="A240">
        <v>238</v>
      </c>
      <c r="B240" t="s">
        <v>10</v>
      </c>
      <c r="C240" s="21" t="s">
        <v>11</v>
      </c>
      <c r="D240" s="21">
        <v>25580.32</v>
      </c>
      <c r="E240" s="21">
        <f t="shared" si="4"/>
        <v>-2730.1500000000015</v>
      </c>
      <c r="F240" s="24">
        <v>-9.6436053516596495E-2</v>
      </c>
      <c r="G240" s="21">
        <v>1</v>
      </c>
      <c r="H240" s="25">
        <v>20250926</v>
      </c>
      <c r="I240" s="26">
        <v>45926</v>
      </c>
      <c r="J240" s="21" t="s">
        <v>18</v>
      </c>
      <c r="K240" s="18">
        <v>8334201118</v>
      </c>
      <c r="L240" s="18">
        <v>15747489.074899901</v>
      </c>
      <c r="M240" s="19">
        <v>1.04166666666666E-2</v>
      </c>
    </row>
    <row r="241" spans="1:13" x14ac:dyDescent="0.25">
      <c r="A241">
        <v>239</v>
      </c>
      <c r="B241" t="s">
        <v>10</v>
      </c>
      <c r="C241" s="21" t="s">
        <v>11</v>
      </c>
      <c r="D241" s="21">
        <v>25469.040000000001</v>
      </c>
      <c r="E241" s="21">
        <f t="shared" si="4"/>
        <v>-2841.4300000000003</v>
      </c>
      <c r="F241" s="24">
        <v>-0.100366754773057</v>
      </c>
      <c r="G241" s="21">
        <v>1</v>
      </c>
      <c r="H241" s="25">
        <v>20250926</v>
      </c>
      <c r="I241" s="26">
        <v>45926</v>
      </c>
      <c r="J241" s="21" t="s">
        <v>25</v>
      </c>
      <c r="K241" s="18">
        <v>8334201118</v>
      </c>
      <c r="L241" s="18">
        <v>15747489.074899901</v>
      </c>
      <c r="M241" s="19">
        <v>1.04166666666666E-2</v>
      </c>
    </row>
  </sheetData>
  <autoFilter ref="A1:N241" xr:uid="{5CE4B690-F2A1-4111-A5D6-2184F9817018}"/>
  <phoneticPr fontId="18" type="noConversion"/>
  <conditionalFormatting sqref="F1:F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{8DF41634-E15B-4907-8DAE-D8F3D91B76DC}</x14:id>
        </ext>
      </extLst>
    </cfRule>
  </conditionalFormatting>
  <conditionalFormatting sqref="G1:G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{99471015-E293-4B85-8495-FC4575AE73B4}</x14:id>
        </ext>
      </extLst>
    </cfRule>
  </conditionalFormatting>
  <conditionalFormatting sqref="K1:K104857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{C909D126-47D1-4CBE-81C0-1ED37ECAF422}</x14:id>
        </ext>
      </extLst>
    </cfRule>
  </conditionalFormatting>
  <conditionalFormatting sqref="L1:L1048576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{AFD1960B-97AA-465D-BE35-DBB8CA9D546F}</x14:id>
        </ext>
      </extLst>
    </cfRule>
  </conditionalFormatting>
  <conditionalFormatting sqref="M1:M1048576">
    <cfRule type="cellIs" dxfId="0" priority="2" operator="greaterThan">
      <formula>0.8</formula>
    </cfRule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{D38A610A-7403-444F-B072-43FE3CCC8EB2}</x14:id>
        </ext>
      </extLst>
    </cfRule>
  </conditionalFormatting>
  <conditionalFormatting sqref="E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{FF0F02A3-3FE7-4DE5-B9FD-C0CD402AA7F1}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F41634-E15B-4907-8DAE-D8F3D91B76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99471015-E293-4B85-8495-FC4575AE73B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C909D126-47D1-4CBE-81C0-1ED37ECAF4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AFD1960B-97AA-465D-BE35-DBB8CA9D546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D38A610A-7403-444F-B072-43FE3CCC8EB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FF0F02A3-3FE7-4DE5-B9FD-C0CD402AA7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weihan jan</cp:lastModifiedBy>
  <dcterms:created xsi:type="dcterms:W3CDTF">2025-12-23T14:42:23Z</dcterms:created>
  <dcterms:modified xsi:type="dcterms:W3CDTF">2025-12-24T02:59:15Z</dcterms:modified>
</cp:coreProperties>
</file>